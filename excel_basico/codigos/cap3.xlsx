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órmulas Bás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2" customWidth="1" min="4" max="4"/>
    <col width="12" customWidth="1" min="5" max="5"/>
    <col width="15" customWidth="1" min="6" max="6"/>
    <col width="15" customWidth="1" min="7" max="7"/>
    <col width="11" customWidth="1" min="8" max="8"/>
    <col width="14" customWidth="1" min="9" max="9"/>
  </cols>
  <sheetData>
    <row r="1">
      <c r="A1" s="1" t="inlineStr">
        <is>
          <t>Producto</t>
        </is>
      </c>
      <c r="B1" s="1" t="inlineStr">
        <is>
          <t>Madera</t>
        </is>
      </c>
      <c r="C1" s="1" t="inlineStr">
        <is>
          <t>Barniz</t>
        </is>
      </c>
      <c r="D1" s="1" t="inlineStr">
        <is>
          <t>Tornillos</t>
        </is>
      </c>
      <c r="E1" s="1" t="inlineStr">
        <is>
          <t>Mano Obra</t>
        </is>
      </c>
      <c r="F1" s="1" t="inlineStr">
        <is>
          <t>Costo Total</t>
        </is>
      </c>
      <c r="G1" s="1" t="inlineStr">
        <is>
          <t>Precio Venta</t>
        </is>
      </c>
      <c r="H1" s="1" t="inlineStr">
        <is>
          <t>Ganancia</t>
        </is>
      </c>
      <c r="I1" s="1" t="inlineStr">
        <is>
          <t>% Ganancia</t>
        </is>
      </c>
    </row>
    <row r="2">
      <c r="A2" s="2" t="inlineStr">
        <is>
          <t>Silla cedro</t>
        </is>
      </c>
      <c r="B2" s="2" t="n">
        <v>45</v>
      </c>
      <c r="C2" s="2" t="n">
        <v>7</v>
      </c>
      <c r="D2" s="2" t="n">
        <v>3</v>
      </c>
      <c r="E2" s="2" t="n">
        <v>35</v>
      </c>
      <c r="F2" s="3">
        <f>B2+C2+D2+E2</f>
        <v/>
      </c>
      <c r="G2" s="3" t="n">
        <v>150</v>
      </c>
      <c r="H2" s="3">
        <f>G2-F2</f>
        <v/>
      </c>
      <c r="I2" s="4">
        <f>(G2-F2)/F2</f>
        <v/>
      </c>
    </row>
    <row r="3">
      <c r="A3" s="2" t="inlineStr">
        <is>
          <t>Mesa roble</t>
        </is>
      </c>
      <c r="B3" s="2" t="n">
        <v>186</v>
      </c>
      <c r="C3" s="2" t="n">
        <v>14</v>
      </c>
      <c r="D3" s="2" t="n">
        <v>8</v>
      </c>
      <c r="E3" s="2" t="n">
        <v>70</v>
      </c>
      <c r="F3" s="3">
        <f>B3+C3+D3+E3</f>
        <v/>
      </c>
      <c r="G3" s="3" t="n">
        <v>350</v>
      </c>
      <c r="H3" s="3">
        <f>G3-F3</f>
        <v/>
      </c>
      <c r="I3" s="4">
        <f>(G3-F3)/F3</f>
        <v/>
      </c>
    </row>
    <row r="4">
      <c r="A4" s="2" t="inlineStr">
        <is>
          <t>Banquito pino</t>
        </is>
      </c>
      <c r="B4" s="2" t="n">
        <v>22</v>
      </c>
      <c r="C4" s="2" t="n">
        <v>5</v>
      </c>
      <c r="D4" s="2" t="n">
        <v>2</v>
      </c>
      <c r="E4" s="2" t="n">
        <v>20</v>
      </c>
      <c r="F4" s="3">
        <f>B4+C4+D4+E4</f>
        <v/>
      </c>
      <c r="G4" s="3" t="n">
        <v>80</v>
      </c>
      <c r="H4" s="3">
        <f>G4-F4</f>
        <v/>
      </c>
      <c r="I4" s="4">
        <f>(G4-F4)/F4</f>
        <v/>
      </c>
    </row>
    <row r="5">
      <c r="A5" s="2" t="inlineStr">
        <is>
          <t>Estante triplay</t>
        </is>
      </c>
      <c r="B5" s="2" t="n">
        <v>70</v>
      </c>
      <c r="C5" s="2" t="n">
        <v>10</v>
      </c>
      <c r="D5" s="2" t="n">
        <v>5</v>
      </c>
      <c r="E5" s="2" t="n">
        <v>45</v>
      </c>
      <c r="F5" s="3">
        <f>B5+C5+D5+E5</f>
        <v/>
      </c>
      <c r="G5" s="3" t="n">
        <v>180</v>
      </c>
      <c r="H5" s="3">
        <f>G5-F5</f>
        <v/>
      </c>
      <c r="I5" s="4">
        <f>(G5-F5)/F5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