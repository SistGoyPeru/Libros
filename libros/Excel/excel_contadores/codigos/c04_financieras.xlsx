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es Financie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A7E5C"/>
      <sz val="12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4" customWidth="1" min="3" max="3"/>
    <col width="17" customWidth="1" min="4" max="4"/>
    <col width="10" customWidth="1" min="5" max="5"/>
    <col width="14" customWidth="1" min="6" max="6"/>
    <col width="21" customWidth="1" min="7" max="7"/>
  </cols>
  <sheetData>
    <row r="1">
      <c r="A1" s="1" t="inlineStr">
        <is>
          <t>Proyecto</t>
        </is>
      </c>
      <c r="B1" s="1" t="inlineStr">
        <is>
          <t>Inversion</t>
        </is>
      </c>
      <c r="C1" s="1" t="inlineStr">
        <is>
          <t>Flujo Anual</t>
        </is>
      </c>
      <c r="D1" s="1" t="inlineStr">
        <is>
          <t>Tasa Descuento</t>
        </is>
      </c>
      <c r="E1" s="1" t="inlineStr">
        <is>
          <t>VAN</t>
        </is>
      </c>
      <c r="F1" s="1" t="inlineStr">
        <is>
          <t>TIR</t>
        </is>
      </c>
      <c r="G1" s="1" t="inlineStr">
        <is>
          <t>Cuota Mensual</t>
        </is>
      </c>
    </row>
    <row r="2">
      <c r="A2" s="2" t="inlineStr">
        <is>
          <t>Proy A - Ampliacion Planta</t>
        </is>
      </c>
      <c r="B2" s="2" t="n">
        <v>500000</v>
      </c>
      <c r="C2" s="2" t="n">
        <v>150000</v>
      </c>
      <c r="D2" s="2" t="n">
        <v>0.1</v>
      </c>
      <c r="E2" s="2" t="n"/>
      <c r="F2" s="2" t="n"/>
      <c r="G2" s="3">
        <f>PMT(15%/12,36,B2)</f>
        <v/>
      </c>
    </row>
    <row r="3">
      <c r="A3" s="2" t="inlineStr">
        <is>
          <t>Proy B - Nuevo Producto</t>
        </is>
      </c>
      <c r="B3" s="2" t="n">
        <v>300000</v>
      </c>
      <c r="C3" s="2" t="n">
        <v>85000</v>
      </c>
      <c r="D3" s="2" t="n">
        <v>0.1</v>
      </c>
      <c r="E3" s="2" t="n"/>
      <c r="F3" s="2" t="n"/>
      <c r="G3" s="3">
        <f>PMT(15%/12,36,B3)</f>
        <v/>
      </c>
    </row>
    <row r="4">
      <c r="A4" s="2" t="inlineStr">
        <is>
          <t>Proy C - Automatizacion</t>
        </is>
      </c>
      <c r="B4" s="2" t="n">
        <v>200000</v>
      </c>
      <c r="C4" s="2" t="n">
        <v>55000</v>
      </c>
      <c r="D4" s="2" t="n">
        <v>0.1</v>
      </c>
      <c r="E4" s="2" t="n"/>
      <c r="F4" s="2" t="n"/>
      <c r="G4" s="3">
        <f>PMT(15%/12,36,B4)</f>
        <v/>
      </c>
    </row>
    <row r="5"/>
    <row r="6"/>
    <row r="7">
      <c r="A7" s="4" t="inlineStr">
        <is>
          <t>TABLA AMORTIZACION</t>
        </is>
      </c>
    </row>
    <row r="8">
      <c r="A8" t="inlineStr">
        <is>
          <t>Monto Prestamo</t>
        </is>
      </c>
      <c r="B8" s="5" t="n">
        <v>150000</v>
      </c>
    </row>
    <row r="9">
      <c r="A9" t="inlineStr">
        <is>
          <t>Tasa Anual</t>
        </is>
      </c>
      <c r="B9" s="6" t="n">
        <v>0.12</v>
      </c>
    </row>
    <row r="10">
      <c r="A10" t="inlineStr">
        <is>
          <t>Plazo (meses)</t>
        </is>
      </c>
      <c r="B10" t="n">
        <v>36</v>
      </c>
    </row>
    <row r="11">
      <c r="A11" t="inlineStr">
        <is>
          <t>Cuota Mensual</t>
        </is>
      </c>
      <c r="B11" s="5">
        <f>PMT(B9/12,B10,B8)</f>
        <v/>
      </c>
    </row>
    <row r="12"/>
    <row r="13">
      <c r="A13" s="1" t="inlineStr">
        <is>
          <t>Periodo</t>
        </is>
      </c>
      <c r="B13" s="1" t="inlineStr">
        <is>
          <t>Saldo Inicial</t>
        </is>
      </c>
      <c r="C13" s="1" t="inlineStr">
        <is>
          <t>Interes</t>
        </is>
      </c>
      <c r="D13" s="1" t="inlineStr">
        <is>
          <t>Amortizacion</t>
        </is>
      </c>
      <c r="E13" s="1" t="inlineStr">
        <is>
          <t>Cuota</t>
        </is>
      </c>
      <c r="F13" s="1" t="inlineStr">
        <is>
          <t>Saldo Final</t>
        </is>
      </c>
    </row>
    <row r="14">
      <c r="A14" s="2" t="n">
        <v>1</v>
      </c>
      <c r="B14" s="3" t="n">
        <v>150000</v>
      </c>
      <c r="C14" s="3" t="n">
        <v>1500</v>
      </c>
      <c r="D14" s="3" t="n">
        <v>3482.15</v>
      </c>
      <c r="E14" s="3" t="n">
        <v>4982.15</v>
      </c>
      <c r="F14" s="3" t="n">
        <v>146517.85</v>
      </c>
    </row>
    <row r="15">
      <c r="A15" s="2" t="n">
        <v>2</v>
      </c>
      <c r="B15" s="3" t="n">
        <v>146517.85</v>
      </c>
      <c r="C15" s="3" t="n">
        <v>1465.18</v>
      </c>
      <c r="D15" s="3" t="n">
        <v>3516.97</v>
      </c>
      <c r="E15" s="3" t="n">
        <v>4982.15</v>
      </c>
      <c r="F15" s="3" t="n">
        <v>143000.89</v>
      </c>
    </row>
    <row r="16">
      <c r="A16" s="2" t="n">
        <v>3</v>
      </c>
      <c r="B16" s="3" t="n">
        <v>143000.89</v>
      </c>
      <c r="C16" s="3" t="n">
        <v>1430.01</v>
      </c>
      <c r="D16" s="3" t="n">
        <v>3552.14</v>
      </c>
      <c r="E16" s="3" t="n">
        <v>4982.15</v>
      </c>
      <c r="F16" s="3" t="n">
        <v>139448.75</v>
      </c>
    </row>
    <row r="17">
      <c r="A17" s="2" t="n">
        <v>4</v>
      </c>
      <c r="B17" s="3" t="n">
        <v>139448.75</v>
      </c>
      <c r="C17" s="3" t="n">
        <v>1394.49</v>
      </c>
      <c r="D17" s="3" t="n">
        <v>3587.66</v>
      </c>
      <c r="E17" s="3" t="n">
        <v>4982.15</v>
      </c>
      <c r="F17" s="3" t="n">
        <v>135861.09</v>
      </c>
    </row>
    <row r="18">
      <c r="A18" s="2" t="n">
        <v>5</v>
      </c>
      <c r="B18" s="3" t="n">
        <v>135861.09</v>
      </c>
      <c r="C18" s="3" t="n">
        <v>1358.61</v>
      </c>
      <c r="D18" s="3" t="n">
        <v>3623.54</v>
      </c>
      <c r="E18" s="3" t="n">
        <v>4982.15</v>
      </c>
      <c r="F18" s="3" t="n">
        <v>132237.55</v>
      </c>
    </row>
    <row r="19">
      <c r="A19" s="2" t="n">
        <v>6</v>
      </c>
      <c r="B19" s="3" t="n">
        <v>132237.55</v>
      </c>
      <c r="C19" s="3" t="n">
        <v>1322.38</v>
      </c>
      <c r="D19" s="3" t="n">
        <v>3659.77</v>
      </c>
      <c r="E19" s="3" t="n">
        <v>4982.15</v>
      </c>
      <c r="F19" s="3" t="n">
        <v>128577.78</v>
      </c>
    </row>
    <row r="20">
      <c r="A20" s="2" t="n">
        <v>7</v>
      </c>
      <c r="B20" s="3" t="n">
        <v>128577.78</v>
      </c>
      <c r="C20" s="3" t="n">
        <v>1285.78</v>
      </c>
      <c r="D20" s="3" t="n">
        <v>3696.37</v>
      </c>
      <c r="E20" s="3" t="n">
        <v>4982.15</v>
      </c>
      <c r="F20" s="3" t="n">
        <v>124881.41</v>
      </c>
    </row>
    <row r="21">
      <c r="A21" s="2" t="n">
        <v>8</v>
      </c>
      <c r="B21" s="3" t="n">
        <v>124881.41</v>
      </c>
      <c r="C21" s="3" t="n">
        <v>1248.81</v>
      </c>
      <c r="D21" s="3" t="n">
        <v>3733.33</v>
      </c>
      <c r="E21" s="3" t="n">
        <v>4982.15</v>
      </c>
      <c r="F21" s="3" t="n">
        <v>121148.08</v>
      </c>
    </row>
    <row r="22">
      <c r="A22" s="2" t="n">
        <v>9</v>
      </c>
      <c r="B22" s="3" t="n">
        <v>121148.08</v>
      </c>
      <c r="C22" s="3" t="n">
        <v>1211.48</v>
      </c>
      <c r="D22" s="3" t="n">
        <v>3770.67</v>
      </c>
      <c r="E22" s="3" t="n">
        <v>4982.15</v>
      </c>
      <c r="F22" s="3" t="n">
        <v>117377.42</v>
      </c>
    </row>
    <row r="23">
      <c r="A23" s="2" t="n">
        <v>10</v>
      </c>
      <c r="B23" s="3" t="n">
        <v>117377.42</v>
      </c>
      <c r="C23" s="3" t="n">
        <v>1173.77</v>
      </c>
      <c r="D23" s="3" t="n">
        <v>3808.37</v>
      </c>
      <c r="E23" s="3" t="n">
        <v>4982.15</v>
      </c>
      <c r="F23" s="3" t="n">
        <v>113569.04</v>
      </c>
    </row>
    <row r="24">
      <c r="A24" s="2" t="n">
        <v>11</v>
      </c>
      <c r="B24" s="3" t="n">
        <v>113569.04</v>
      </c>
      <c r="C24" s="3" t="n">
        <v>1135.69</v>
      </c>
      <c r="D24" s="3" t="n">
        <v>3846.46</v>
      </c>
      <c r="E24" s="3" t="n">
        <v>4982.15</v>
      </c>
      <c r="F24" s="3" t="n">
        <v>109722.59</v>
      </c>
    </row>
    <row r="25">
      <c r="A25" s="2" t="n">
        <v>12</v>
      </c>
      <c r="B25" s="3" t="n">
        <v>109722.59</v>
      </c>
      <c r="C25" s="3" t="n">
        <v>1097.23</v>
      </c>
      <c r="D25" s="3" t="n">
        <v>3884.92</v>
      </c>
      <c r="E25" s="3" t="n">
        <v>4982.15</v>
      </c>
      <c r="F25" s="3" t="n">
        <v>105837.67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2026-06-29T14:50:41Z</dcterms:created>
  <dcterms:modified xmlns:dcterms="http://purl.org/dc/terms/" xmlns:xsi="http://www.w3.org/2001/XMLSchema-instance" xsi:type="dcterms:W3CDTF">2026-06-29T14:50:41Z</dcterms:modified>
</cp:coreProperties>
</file>