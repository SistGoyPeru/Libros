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ashboard" sheetId="1" state="visible" r:id="rId1"/>
    <sheet xmlns:r="http://schemas.openxmlformats.org/officeDocument/2006/relationships"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vs Gastos 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 Dashboard'!$A$2:$A$13</f>
            </numRef>
          </cat>
          <val>
            <numRef>
              <f>'Datos Dashboard'!$B$2:$B$13</f>
            </numRef>
          </val>
        </ser>
        <ser>
          <idx val="1"/>
          <order val="1"/>
          <tx>
            <strRef>
              <f>'Datos Dashboard'!C1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 Dashboard'!$A$2:$A$13</f>
            </numRef>
          </cat>
          <val>
            <numRef>
              <f>'Datos Dashboard'!$C$2:$C$13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1" customWidth="1" min="4" max="4"/>
    <col width="11" customWidth="1" min="5" max="5"/>
    <col width="7" customWidth="1" min="6" max="6"/>
  </cols>
  <sheetData>
    <row r="1">
      <c r="A1" s="1" t="inlineStr">
        <is>
          <t>Mes</t>
        </is>
      </c>
      <c r="B1" s="1" t="inlineStr">
        <is>
          <t>Ventas</t>
        </is>
      </c>
      <c r="C1" s="1" t="inlineStr">
        <is>
          <t>Gastos</t>
        </is>
      </c>
      <c r="D1" s="1" t="inlineStr">
        <is>
          <t>Utilidad</t>
        </is>
      </c>
      <c r="E1" s="1" t="inlineStr">
        <is>
          <t>Liquidez</t>
        </is>
      </c>
      <c r="F1" s="1" t="inlineStr">
        <is>
          <t>ROE</t>
        </is>
      </c>
    </row>
    <row r="2">
      <c r="A2" s="2" t="inlineStr">
        <is>
          <t>Ene</t>
        </is>
      </c>
      <c r="B2" s="3" t="n">
        <v>180000</v>
      </c>
      <c r="C2" s="3" t="n">
        <v>135000</v>
      </c>
      <c r="D2" s="3">
        <f>B2-C2</f>
        <v/>
      </c>
      <c r="E2" s="2" t="n">
        <v>1.35</v>
      </c>
      <c r="F2" s="2" t="n">
        <v>13.8</v>
      </c>
    </row>
    <row r="3">
      <c r="A3" s="2" t="inlineStr">
        <is>
          <t>Feb</t>
        </is>
      </c>
      <c r="B3" s="3" t="n">
        <v>195000</v>
      </c>
      <c r="C3" s="3" t="n">
        <v>142000</v>
      </c>
      <c r="D3" s="3">
        <f>B3-C3</f>
        <v/>
      </c>
      <c r="E3" s="2" t="n">
        <v>1.25</v>
      </c>
      <c r="F3" s="2" t="n">
        <v>12.7</v>
      </c>
    </row>
    <row r="4">
      <c r="A4" s="2" t="inlineStr">
        <is>
          <t>Mar</t>
        </is>
      </c>
      <c r="B4" s="3" t="n">
        <v>172000</v>
      </c>
      <c r="C4" s="3" t="n">
        <v>128000</v>
      </c>
      <c r="D4" s="3">
        <f>B4-C4</f>
        <v/>
      </c>
      <c r="E4" s="2" t="n">
        <v>1.76</v>
      </c>
      <c r="F4" s="2" t="n">
        <v>11.2</v>
      </c>
    </row>
    <row r="5">
      <c r="A5" s="2" t="inlineStr">
        <is>
          <t>Abr</t>
        </is>
      </c>
      <c r="B5" s="3" t="n">
        <v>210000</v>
      </c>
      <c r="C5" s="3" t="n">
        <v>155000</v>
      </c>
      <c r="D5" s="3">
        <f>B5-C5</f>
        <v/>
      </c>
      <c r="E5" s="2" t="n">
        <v>1.92</v>
      </c>
      <c r="F5" s="2" t="n">
        <v>14.7</v>
      </c>
    </row>
    <row r="6">
      <c r="A6" s="2" t="inlineStr">
        <is>
          <t>May</t>
        </is>
      </c>
      <c r="B6" s="3" t="n">
        <v>225000</v>
      </c>
      <c r="C6" s="3" t="n">
        <v>160000</v>
      </c>
      <c r="D6" s="3">
        <f>B6-C6</f>
        <v/>
      </c>
      <c r="E6" s="2" t="n">
        <v>2.48</v>
      </c>
      <c r="F6" s="2" t="n">
        <v>13.2</v>
      </c>
    </row>
    <row r="7">
      <c r="A7" s="2" t="inlineStr">
        <is>
          <t>Jun</t>
        </is>
      </c>
      <c r="B7" s="3" t="n">
        <v>198000</v>
      </c>
      <c r="C7" s="3" t="n">
        <v>148000</v>
      </c>
      <c r="D7" s="3">
        <f>B7-C7</f>
        <v/>
      </c>
      <c r="E7" s="2" t="n">
        <v>1.22</v>
      </c>
      <c r="F7" s="2" t="n">
        <v>14.4</v>
      </c>
    </row>
    <row r="8">
      <c r="A8" s="2" t="inlineStr">
        <is>
          <t>Jul</t>
        </is>
      </c>
      <c r="B8" s="3" t="n">
        <v>240000</v>
      </c>
      <c r="C8" s="3" t="n">
        <v>172000</v>
      </c>
      <c r="D8" s="3">
        <f>B8-C8</f>
        <v/>
      </c>
      <c r="E8" s="2" t="n">
        <v>1.89</v>
      </c>
      <c r="F8" s="2" t="n">
        <v>17.8</v>
      </c>
    </row>
    <row r="9">
      <c r="A9" s="2" t="inlineStr">
        <is>
          <t>Ago</t>
        </is>
      </c>
      <c r="B9" s="3" t="n">
        <v>255000</v>
      </c>
      <c r="C9" s="3" t="n">
        <v>180000</v>
      </c>
      <c r="D9" s="3">
        <f>B9-C9</f>
        <v/>
      </c>
      <c r="E9" s="2" t="n">
        <v>2</v>
      </c>
      <c r="F9" s="2" t="n">
        <v>10.7</v>
      </c>
    </row>
    <row r="10">
      <c r="A10" s="2" t="inlineStr">
        <is>
          <t>Sep</t>
        </is>
      </c>
      <c r="B10" s="3" t="n">
        <v>230000</v>
      </c>
      <c r="C10" s="3" t="n">
        <v>165000</v>
      </c>
      <c r="D10" s="3">
        <f>B10-C10</f>
        <v/>
      </c>
      <c r="E10" s="2" t="n">
        <v>1.21</v>
      </c>
      <c r="F10" s="2" t="n">
        <v>9.300000000000001</v>
      </c>
    </row>
    <row r="11">
      <c r="A11" s="2" t="inlineStr">
        <is>
          <t>Oct</t>
        </is>
      </c>
      <c r="B11" s="3" t="n">
        <v>270000</v>
      </c>
      <c r="C11" s="3" t="n">
        <v>190000</v>
      </c>
      <c r="D11" s="3">
        <f>B11-C11</f>
        <v/>
      </c>
      <c r="E11" s="2" t="n">
        <v>1.85</v>
      </c>
      <c r="F11" s="2" t="n">
        <v>14.1</v>
      </c>
    </row>
    <row r="12">
      <c r="A12" s="2" t="inlineStr">
        <is>
          <t>Nov</t>
        </is>
      </c>
      <c r="B12" s="3" t="n">
        <v>290000</v>
      </c>
      <c r="C12" s="3" t="n">
        <v>195000</v>
      </c>
      <c r="D12" s="3">
        <f>B12-C12</f>
        <v/>
      </c>
      <c r="E12" s="2" t="n">
        <v>1.72</v>
      </c>
      <c r="F12" s="2" t="n">
        <v>10</v>
      </c>
    </row>
    <row r="13">
      <c r="A13" s="2" t="inlineStr">
        <is>
          <t>Dic</t>
        </is>
      </c>
      <c r="B13" s="3" t="n">
        <v>310000</v>
      </c>
      <c r="C13" s="3" t="n">
        <v>205000</v>
      </c>
      <c r="D13" s="3">
        <f>B13-C13</f>
        <v/>
      </c>
      <c r="E13" s="2" t="n">
        <v>2.1</v>
      </c>
      <c r="F13" s="2" t="n">
        <v>10.6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7" customWidth="1" min="3" max="3"/>
    <col width="15" customWidth="1" min="4" max="4"/>
  </cols>
  <sheetData>
    <row r="1">
      <c r="A1" s="1" t="inlineStr">
        <is>
          <t>KPI</t>
        </is>
      </c>
      <c r="B1" s="1" t="inlineStr">
        <is>
          <t>Valor Actual</t>
        </is>
      </c>
      <c r="C1" s="1" t="inlineStr">
        <is>
          <t>Meta</t>
        </is>
      </c>
      <c r="D1" s="1" t="inlineStr">
        <is>
          <t>Cumplimiento</t>
        </is>
      </c>
    </row>
    <row r="2">
      <c r="A2" s="2" t="inlineStr">
        <is>
          <t>Liquidez Corriente</t>
        </is>
      </c>
      <c r="B2" s="2" t="n">
        <v>2.15</v>
      </c>
      <c r="C2" s="2" t="n">
        <v>1.5</v>
      </c>
      <c r="D2" s="4">
        <f>B2/C2</f>
        <v/>
      </c>
    </row>
    <row r="3">
      <c r="A3" s="2" t="inlineStr">
        <is>
          <t>Prueba Acida</t>
        </is>
      </c>
      <c r="B3" s="2" t="n">
        <v>1.42</v>
      </c>
      <c r="C3" s="2" t="n">
        <v>1</v>
      </c>
      <c r="D3" s="4">
        <f>B3/C3</f>
        <v/>
      </c>
    </row>
    <row r="4">
      <c r="A4" s="2" t="inlineStr">
        <is>
          <t>ROE (%)</t>
        </is>
      </c>
      <c r="B4" s="2" t="n">
        <v>15.3</v>
      </c>
      <c r="C4" s="2" t="n">
        <v>12</v>
      </c>
      <c r="D4" s="4">
        <f>B4/C4</f>
        <v/>
      </c>
    </row>
    <row r="5">
      <c r="A5" s="2" t="inlineStr">
        <is>
          <t>ROA (%)</t>
        </is>
      </c>
      <c r="B5" s="2" t="n">
        <v>8.699999999999999</v>
      </c>
      <c r="C5" s="2" t="n">
        <v>7</v>
      </c>
      <c r="D5" s="4">
        <f>B5/C5</f>
        <v/>
      </c>
    </row>
    <row r="6">
      <c r="A6" s="2" t="inlineStr">
        <is>
          <t>Margen Neto (%)</t>
        </is>
      </c>
      <c r="B6" s="2" t="n">
        <v>22.4</v>
      </c>
      <c r="C6" s="2" t="n">
        <v>18</v>
      </c>
      <c r="D6" s="4">
        <f>B6/C6</f>
        <v/>
      </c>
    </row>
    <row r="7">
      <c r="A7" s="2" t="inlineStr">
        <is>
          <t>Endeudamiento</t>
        </is>
      </c>
      <c r="B7" s="2" t="n">
        <v>0.45</v>
      </c>
      <c r="C7" s="2" t="n">
        <v>0.6</v>
      </c>
      <c r="D7" s="4">
        <f>B7/C7</f>
        <v/>
      </c>
    </row>
    <row r="8">
      <c r="A8" s="2" t="inlineStr">
        <is>
          <t>Cobertura Intereses</t>
        </is>
      </c>
      <c r="B8" s="2" t="n">
        <v>4.8</v>
      </c>
      <c r="C8" s="2" t="n">
        <v>3</v>
      </c>
      <c r="D8" s="4">
        <f>B8/C8</f>
        <v/>
      </c>
    </row>
  </sheetData>
  <conditionalFormatting sqref="B2:B8">
    <cfRule type="dataBar" priority="1">
      <dataBar>
        <cfvo type="min"/>
        <cfvo type="max"/>
        <color rgb="000A7E5C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2026-06-29T14:50:41Z</dcterms:created>
  <dcterms:modified xmlns:dcterms="http://purl.org/dc/terms/" xmlns:xsi="http://www.w3.org/2001/XMLSchema-instance" xsi:type="dcterms:W3CDTF">2026-06-29T14:50:41Z</dcterms:modified>
</cp:coreProperties>
</file>