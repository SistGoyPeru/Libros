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Diario" sheetId="1" state="visible" r:id="rId1"/>
    <sheet xmlns:r="http://schemas.openxmlformats.org/officeDocument/2006/relationships" name="Libro May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4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Comprobante</t>
        </is>
      </c>
      <c r="C1" s="1" t="inlineStr">
        <is>
          <t>Glosa</t>
        </is>
      </c>
      <c r="D1" s="1" t="inlineStr">
        <is>
          <t>Cuenta Debe</t>
        </is>
      </c>
      <c r="E1" s="1" t="inlineStr">
        <is>
          <t>Cuenta Haber</t>
        </is>
      </c>
      <c r="F1" s="1" t="inlineStr">
        <is>
          <t>Debe S/</t>
        </is>
      </c>
      <c r="G1" s="1" t="inlineStr">
        <is>
          <t>Haber S/</t>
        </is>
      </c>
    </row>
    <row r="2">
      <c r="A2" s="2" t="inlineStr">
        <is>
          <t>02/01/2025</t>
        </is>
      </c>
      <c r="B2" s="2" t="inlineStr">
        <is>
          <t>CP-001</t>
        </is>
      </c>
      <c r="C2" s="2" t="inlineStr">
        <is>
          <t>Apertura ejercicio</t>
        </is>
      </c>
      <c r="D2" s="2" t="inlineStr">
        <is>
          <t>10.01.01.02</t>
        </is>
      </c>
      <c r="E2" s="2" t="inlineStr">
        <is>
          <t>50.01.01.01</t>
        </is>
      </c>
      <c r="F2" s="3" t="n">
        <v>500000</v>
      </c>
      <c r="G2" s="3" t="n">
        <v>500000</v>
      </c>
    </row>
    <row r="3">
      <c r="A3" s="2" t="inlineStr">
        <is>
          <t>02/01/2025</t>
        </is>
      </c>
      <c r="B3" s="2" t="inlineStr">
        <is>
          <t>CP-001</t>
        </is>
      </c>
      <c r="C3" s="2" t="inlineStr">
        <is>
          <t>Apertura ejercicio</t>
        </is>
      </c>
      <c r="D3" s="2" t="inlineStr">
        <is>
          <t>10.01.02.01</t>
        </is>
      </c>
      <c r="E3" s="2" t="inlineStr">
        <is>
          <t>42.01.01.01</t>
        </is>
      </c>
      <c r="F3" s="3" t="n">
        <v>200000</v>
      </c>
      <c r="G3" s="3" t="n">
        <v>200000</v>
      </c>
    </row>
    <row r="4">
      <c r="A4" s="2" t="inlineStr">
        <is>
          <t>05/01/2025</t>
        </is>
      </c>
      <c r="B4" s="2" t="inlineStr">
        <is>
          <t>CP-002</t>
        </is>
      </c>
      <c r="C4" s="2" t="inlineStr">
        <is>
          <t>Compra mercaderias</t>
        </is>
      </c>
      <c r="D4" s="2" t="inlineStr">
        <is>
          <t>70.01.01.01</t>
        </is>
      </c>
      <c r="E4" s="2" t="inlineStr">
        <is>
          <t>10.01.02.01</t>
        </is>
      </c>
      <c r="F4" s="3" t="n">
        <v>45000</v>
      </c>
      <c r="G4" s="3" t="n">
        <v>45000</v>
      </c>
    </row>
    <row r="5">
      <c r="A5" s="2" t="inlineStr">
        <is>
          <t>08/01/2025</t>
        </is>
      </c>
      <c r="B5" s="2" t="inlineStr">
        <is>
          <t>CP-003</t>
        </is>
      </c>
      <c r="C5" s="2" t="inlineStr">
        <is>
          <t>Venta al contado</t>
        </is>
      </c>
      <c r="D5" s="2" t="inlineStr">
        <is>
          <t>10.01.02.01</t>
        </is>
      </c>
      <c r="E5" s="2" t="inlineStr">
        <is>
          <t>60.01.01.01</t>
        </is>
      </c>
      <c r="F5" s="3" t="n">
        <v>85000</v>
      </c>
      <c r="G5" s="3" t="n">
        <v>85000</v>
      </c>
    </row>
    <row r="6">
      <c r="A6" s="2" t="inlineStr">
        <is>
          <t>10/01/2025</t>
        </is>
      </c>
      <c r="B6" s="2" t="inlineStr">
        <is>
          <t>CP-004</t>
        </is>
      </c>
      <c r="C6" s="2" t="inlineStr">
        <is>
          <t>Pago alquiler enero</t>
        </is>
      </c>
      <c r="D6" s="2" t="inlineStr">
        <is>
          <t>80.01.02.01</t>
        </is>
      </c>
      <c r="E6" s="2" t="inlineStr">
        <is>
          <t>10.01.02.01</t>
        </is>
      </c>
      <c r="F6" s="3" t="n">
        <v>5000</v>
      </c>
      <c r="G6" s="3" t="n">
        <v>5000</v>
      </c>
    </row>
    <row r="7">
      <c r="A7" s="2" t="inlineStr">
        <is>
          <t>12/01/2025</t>
        </is>
      </c>
      <c r="B7" s="2" t="inlineStr">
        <is>
          <t>CP-005</t>
        </is>
      </c>
      <c r="C7" s="2" t="inlineStr">
        <is>
          <t>Cobranza factura</t>
        </is>
      </c>
      <c r="D7" s="2" t="inlineStr">
        <is>
          <t>10.01.02.01</t>
        </is>
      </c>
      <c r="E7" s="2" t="inlineStr">
        <is>
          <t>12.01.01.01</t>
        </is>
      </c>
      <c r="F7" s="3" t="n">
        <v>12000</v>
      </c>
      <c r="G7" s="3" t="n">
        <v>12000</v>
      </c>
    </row>
    <row r="8">
      <c r="A8" s="2" t="inlineStr">
        <is>
          <t>15/01/2025</t>
        </is>
      </c>
      <c r="B8" s="2" t="inlineStr">
        <is>
          <t>CP-006</t>
        </is>
      </c>
      <c r="C8" s="2" t="inlineStr">
        <is>
          <t>Pago sueldos quincena</t>
        </is>
      </c>
      <c r="D8" s="2" t="inlineStr">
        <is>
          <t>80.01.01.01</t>
        </is>
      </c>
      <c r="E8" s="2" t="inlineStr">
        <is>
          <t>10.01.02.01</t>
        </is>
      </c>
      <c r="F8" s="3" t="n">
        <v>25000</v>
      </c>
      <c r="G8" s="3" t="n">
        <v>25000</v>
      </c>
    </row>
    <row r="9">
      <c r="A9" s="2" t="inlineStr">
        <is>
          <t>18/01/2025</t>
        </is>
      </c>
      <c r="B9" s="2" t="inlineStr">
        <is>
          <t>CP-007</t>
        </is>
      </c>
      <c r="C9" s="2" t="inlineStr">
        <is>
          <t>Venta al credito</t>
        </is>
      </c>
      <c r="D9" s="2" t="inlineStr">
        <is>
          <t>12.01.01.01</t>
        </is>
      </c>
      <c r="E9" s="2" t="inlineStr">
        <is>
          <t>60.01.01.01</t>
        </is>
      </c>
      <c r="F9" s="3" t="n">
        <v>32000</v>
      </c>
      <c r="G9" s="3" t="n">
        <v>32000</v>
      </c>
    </row>
    <row r="10">
      <c r="A10" s="2" t="inlineStr">
        <is>
          <t>20/01/2025</t>
        </is>
      </c>
      <c r="B10" s="2" t="inlineStr">
        <is>
          <t>CP-008</t>
        </is>
      </c>
      <c r="C10" s="2" t="inlineStr">
        <is>
          <t>Pago servicios publicos</t>
        </is>
      </c>
      <c r="D10" s="2" t="inlineStr">
        <is>
          <t>70.01.02.01</t>
        </is>
      </c>
      <c r="E10" s="2" t="inlineStr">
        <is>
          <t>10.01.02.01</t>
        </is>
      </c>
      <c r="F10" s="3" t="n">
        <v>1800</v>
      </c>
      <c r="G10" s="3" t="n">
        <v>1800</v>
      </c>
    </row>
    <row r="11">
      <c r="A11" s="2" t="inlineStr">
        <is>
          <t>22/01/2025</t>
        </is>
      </c>
      <c r="B11" s="2" t="inlineStr">
        <is>
          <t>CP-009</t>
        </is>
      </c>
      <c r="C11" s="2" t="inlineStr">
        <is>
          <t>Depreciacion mensual</t>
        </is>
      </c>
      <c r="D11" s="2" t="inlineStr">
        <is>
          <t>80.01.03.01</t>
        </is>
      </c>
      <c r="E11" s="2" t="inlineStr">
        <is>
          <t>30.01.01.01</t>
        </is>
      </c>
      <c r="F11" s="3" t="n">
        <v>4200</v>
      </c>
      <c r="G11" s="3" t="n">
        <v>4200</v>
      </c>
    </row>
    <row r="12">
      <c r="A12" s="2" t="inlineStr">
        <is>
          <t>25/01/2025</t>
        </is>
      </c>
      <c r="B12" s="2" t="inlineStr">
        <is>
          <t>CP-010</t>
        </is>
      </c>
      <c r="C12" s="2" t="inlineStr">
        <is>
          <t>Compra maquinaria</t>
        </is>
      </c>
      <c r="D12" s="2" t="inlineStr">
        <is>
          <t>20.01.02.01</t>
        </is>
      </c>
      <c r="E12" s="2" t="inlineStr">
        <is>
          <t>40.01.03.01</t>
        </is>
      </c>
      <c r="F12" s="3" t="n">
        <v>35000</v>
      </c>
      <c r="G12" s="3" t="n">
        <v>35000</v>
      </c>
    </row>
    <row r="13">
      <c r="A13" s="2" t="inlineStr">
        <is>
          <t>28/01/2025</t>
        </is>
      </c>
      <c r="B13" s="2" t="inlineStr">
        <is>
          <t>CP-011</t>
        </is>
      </c>
      <c r="C13" s="2" t="inlineStr">
        <is>
          <t>Pago tributos</t>
        </is>
      </c>
      <c r="D13" s="2" t="inlineStr">
        <is>
          <t>40.01.01.01</t>
        </is>
      </c>
      <c r="E13" s="2" t="inlineStr">
        <is>
          <t>10.01.02.01</t>
        </is>
      </c>
      <c r="F13" s="3" t="n">
        <v>8500</v>
      </c>
      <c r="G13" s="3" t="n">
        <v>8500</v>
      </c>
    </row>
    <row r="14">
      <c r="A14" s="2" t="inlineStr">
        <is>
          <t>30/01/2025</t>
        </is>
      </c>
      <c r="B14" s="2" t="inlineStr">
        <is>
          <t>CP-012</t>
        </is>
      </c>
      <c r="C14" s="2" t="inlineStr">
        <is>
          <t>Varias ventas contado</t>
        </is>
      </c>
      <c r="D14" s="2" t="inlineStr">
        <is>
          <t>10.01.02.01</t>
        </is>
      </c>
      <c r="E14" s="2" t="inlineStr">
        <is>
          <t>60.01.01.01</t>
        </is>
      </c>
      <c r="F14" s="3" t="n">
        <v>28000</v>
      </c>
      <c r="G14" s="3" t="n">
        <v>28000</v>
      </c>
    </row>
    <row r="15">
      <c r="A15" t="inlineStr">
        <is>
          <t>TOTAL DEBE</t>
        </is>
      </c>
      <c r="F15" s="4">
        <f>SUM(F2:F14)</f>
        <v/>
      </c>
      <c r="G15" s="4">
        <f>SUM(G2:G14)</f>
        <v/>
      </c>
    </row>
    <row r="16">
      <c r="A16" t="inlineStr">
        <is>
          <t>CUADRA (Debe=Haber)</t>
        </is>
      </c>
      <c r="B16" s="5">
        <f>IF(F15=G15,"SI","NO")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8" customWidth="1" min="3" max="3"/>
    <col width="28" customWidth="1" min="4" max="4"/>
    <col width="11" customWidth="1" min="5" max="5"/>
  </cols>
  <sheetData>
    <row r="1">
      <c r="A1" s="1" t="inlineStr">
        <is>
          <t>Cuenta</t>
        </is>
      </c>
      <c r="B1" s="1" t="inlineStr">
        <is>
          <t>Descripcion</t>
        </is>
      </c>
      <c r="C1" s="1" t="inlineStr">
        <is>
          <t>Debe Total</t>
        </is>
      </c>
      <c r="D1" s="1" t="inlineStr">
        <is>
          <t>Haber Total</t>
        </is>
      </c>
      <c r="E1" s="1" t="inlineStr">
        <is>
          <t>Saldo</t>
        </is>
      </c>
    </row>
    <row r="2">
      <c r="A2" s="2" t="inlineStr">
        <is>
          <t>10.01.01.02</t>
        </is>
      </c>
      <c r="B2" s="2" t="inlineStr">
        <is>
          <t>Caja General Soles</t>
        </is>
      </c>
      <c r="C2" s="3">
        <f>SUMIF(D2:D14,A2,F2:F14)</f>
        <v/>
      </c>
      <c r="D2" s="3">
        <f>SUMIF(E2:E14,A2,G2:G14)</f>
        <v/>
      </c>
      <c r="E2" s="3">
        <f>C2-D2</f>
        <v/>
      </c>
    </row>
    <row r="3">
      <c r="A3" s="2" t="inlineStr">
        <is>
          <t>10.01.02.01</t>
        </is>
      </c>
      <c r="B3" s="2" t="inlineStr">
        <is>
          <t>Banco BCP Cta Ahorros</t>
        </is>
      </c>
      <c r="C3" s="3">
        <f>SUMIF(D2:D14,A3,F2:F14)</f>
        <v/>
      </c>
      <c r="D3" s="3">
        <f>SUMIF(E2:E14,A3,G2:G14)</f>
        <v/>
      </c>
      <c r="E3" s="3">
        <f>C3-D3</f>
        <v/>
      </c>
    </row>
    <row r="4">
      <c r="A4" s="2" t="inlineStr">
        <is>
          <t>12.01.01.01</t>
        </is>
      </c>
      <c r="B4" s="2" t="inlineStr">
        <is>
          <t>Facturas por Cobrar</t>
        </is>
      </c>
      <c r="C4" s="3">
        <f>SUMIF(D2:D14,A4,F2:F14)</f>
        <v/>
      </c>
      <c r="D4" s="3">
        <f>SUMIF(E2:E14,A4,G2:G14)</f>
        <v/>
      </c>
      <c r="E4" s="3">
        <f>C4-D4</f>
        <v/>
      </c>
    </row>
    <row r="5">
      <c r="A5" s="2" t="inlineStr">
        <is>
          <t>20.01.02.01</t>
        </is>
      </c>
      <c r="B5" s="2" t="inlineStr">
        <is>
          <t>Maquinaria y Equipo</t>
        </is>
      </c>
      <c r="C5" s="3">
        <f>SUMIF(D2:D14,A5,F2:F14)</f>
        <v/>
      </c>
      <c r="D5" s="3">
        <f>SUMIF(E2:E14,A5,G2:G14)</f>
        <v/>
      </c>
      <c r="E5" s="3">
        <f>C5-D5</f>
        <v/>
      </c>
    </row>
    <row r="6">
      <c r="A6" s="2" t="inlineStr">
        <is>
          <t>30.01.01.01</t>
        </is>
      </c>
      <c r="B6" s="2" t="inlineStr">
        <is>
          <t>Depreciacion Acumulada</t>
        </is>
      </c>
      <c r="C6" s="3">
        <f>SUMIF(D2:D14,A6,F2:F14)</f>
        <v/>
      </c>
      <c r="D6" s="3">
        <f>SUMIF(E2:E14,A6,G2:G14)</f>
        <v/>
      </c>
      <c r="E6" s="3">
        <f>C6-D6</f>
        <v/>
      </c>
    </row>
    <row r="7">
      <c r="A7" s="2" t="inlineStr">
        <is>
          <t>40.01.01.01</t>
        </is>
      </c>
      <c r="B7" s="2" t="inlineStr">
        <is>
          <t>Tributos por Pagar</t>
        </is>
      </c>
      <c r="C7" s="3">
        <f>SUMIF(D2:D14,A7,F2:F14)</f>
        <v/>
      </c>
      <c r="D7" s="3">
        <f>SUMIF(E2:E14,A7,G2:G14)</f>
        <v/>
      </c>
      <c r="E7" s="3">
        <f>C7-D7</f>
        <v/>
      </c>
    </row>
    <row r="8">
      <c r="A8" s="2" t="inlineStr">
        <is>
          <t>40.01.03.01</t>
        </is>
      </c>
      <c r="B8" s="2" t="inlineStr">
        <is>
          <t>Proveedores Diversos</t>
        </is>
      </c>
      <c r="C8" s="3">
        <f>SUMIF(D2:D14,A8,F2:F14)</f>
        <v/>
      </c>
      <c r="D8" s="3">
        <f>SUMIF(E2:E14,A8,G2:G14)</f>
        <v/>
      </c>
      <c r="E8" s="3">
        <f>C8-D8</f>
        <v/>
      </c>
    </row>
    <row r="9">
      <c r="A9" s="2" t="inlineStr">
        <is>
          <t>42.01.01.01</t>
        </is>
      </c>
      <c r="B9" s="2" t="inlineStr">
        <is>
          <t>Prestamos Bancarios CP</t>
        </is>
      </c>
      <c r="C9" s="3">
        <f>SUMIF(D2:D14,A9,F2:F14)</f>
        <v/>
      </c>
      <c r="D9" s="3">
        <f>SUMIF(E2:E14,A9,G2:G14)</f>
        <v/>
      </c>
      <c r="E9" s="3">
        <f>C9-D9</f>
        <v/>
      </c>
    </row>
    <row r="10">
      <c r="A10" s="2" t="inlineStr">
        <is>
          <t>50.01.01.01</t>
        </is>
      </c>
      <c r="B10" s="2" t="inlineStr">
        <is>
          <t>Capital Social</t>
        </is>
      </c>
      <c r="C10" s="3">
        <f>SUMIF(D2:D14,A10,F2:F14)</f>
        <v/>
      </c>
      <c r="D10" s="3">
        <f>SUMIF(E2:E14,A10,G2:G14)</f>
        <v/>
      </c>
      <c r="E10" s="3">
        <f>C10-D10</f>
        <v/>
      </c>
    </row>
    <row r="11">
      <c r="A11" s="2" t="inlineStr">
        <is>
          <t>60.01.01.01</t>
        </is>
      </c>
      <c r="B11" s="2" t="inlineStr">
        <is>
          <t>Ventas Mercaderias</t>
        </is>
      </c>
      <c r="C11" s="3">
        <f>SUMIF(D2:D14,A11,F2:F14)</f>
        <v/>
      </c>
      <c r="D11" s="3">
        <f>SUMIF(E2:E14,A11,G2:G14)</f>
        <v/>
      </c>
      <c r="E11" s="3">
        <f>C11-D11</f>
        <v/>
      </c>
    </row>
    <row r="12">
      <c r="A12" s="2" t="inlineStr">
        <is>
          <t>70.01.01.01</t>
        </is>
      </c>
      <c r="B12" s="2" t="inlineStr">
        <is>
          <t>Compras Mercaderias</t>
        </is>
      </c>
      <c r="C12" s="3">
        <f>SUMIF(D2:D14,A12,F2:F14)</f>
        <v/>
      </c>
      <c r="D12" s="3">
        <f>SUMIF(E2:E14,A12,G2:G14)</f>
        <v/>
      </c>
      <c r="E12" s="3">
        <f>C12-D12</f>
        <v/>
      </c>
    </row>
    <row r="13">
      <c r="A13" s="2" t="inlineStr">
        <is>
          <t>70.01.02.01</t>
        </is>
      </c>
      <c r="B13" s="2" t="inlineStr">
        <is>
          <t>Servicios Publicos</t>
        </is>
      </c>
      <c r="C13" s="3">
        <f>SUMIF(D2:D14,A13,F2:F14)</f>
        <v/>
      </c>
      <c r="D13" s="3">
        <f>SUMIF(E2:E14,A13,G2:G14)</f>
        <v/>
      </c>
      <c r="E13" s="3">
        <f>C13-D13</f>
        <v/>
      </c>
    </row>
    <row r="14">
      <c r="A14" s="2" t="inlineStr">
        <is>
          <t>80.01.01.01</t>
        </is>
      </c>
      <c r="B14" s="2" t="inlineStr">
        <is>
          <t>Sueldos y Salarios</t>
        </is>
      </c>
      <c r="C14" s="3">
        <f>SUMIF(D2:D14,A14,F2:F14)</f>
        <v/>
      </c>
      <c r="D14" s="3">
        <f>SUMIF(E2:E14,A14,G2:G14)</f>
        <v/>
      </c>
      <c r="E14" s="3">
        <f>C14-D14</f>
        <v/>
      </c>
    </row>
    <row r="15">
      <c r="A15" s="2" t="inlineStr">
        <is>
          <t>80.01.02.01</t>
        </is>
      </c>
      <c r="B15" s="2" t="inlineStr">
        <is>
          <t>Alquileres</t>
        </is>
      </c>
      <c r="C15" s="3">
        <f>SUMIF(D2:D14,A15,F2:F14)</f>
        <v/>
      </c>
      <c r="D15" s="3">
        <f>SUMIF(E2:E14,A15,G2:G14)</f>
        <v/>
      </c>
      <c r="E15" s="3">
        <f>C15-D15</f>
        <v/>
      </c>
    </row>
    <row r="16">
      <c r="A16" s="2" t="inlineStr">
        <is>
          <t>80.01.03.01</t>
        </is>
      </c>
      <c r="B16" s="2" t="inlineStr">
        <is>
          <t>Depreciacion</t>
        </is>
      </c>
      <c r="C16" s="3">
        <f>SUMIF(D2:D14,A16,F2:F14)</f>
        <v/>
      </c>
      <c r="D16" s="3">
        <f>SUMIF(E2:E14,A16,G2:G14)</f>
        <v/>
      </c>
      <c r="E16" s="3">
        <f>C16-D16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