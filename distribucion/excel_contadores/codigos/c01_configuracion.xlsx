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4" customWidth="1" min="3" max="3"/>
    <col width="10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Descripcion</t>
        </is>
      </c>
      <c r="D1" s="1" t="inlineStr">
        <is>
          <t>Debe S/</t>
        </is>
      </c>
      <c r="E1" s="1" t="inlineStr">
        <is>
          <t>Haber S/</t>
        </is>
      </c>
      <c r="F1" s="1" t="inlineStr">
        <is>
          <t>Banco S/</t>
        </is>
      </c>
      <c r="G1" s="1" t="inlineStr">
        <is>
          <t>Diferencia</t>
        </is>
      </c>
    </row>
    <row r="2">
      <c r="A2" s="2" t="inlineStr">
        <is>
          <t>02/01/2025</t>
        </is>
      </c>
      <c r="B2" s="2" t="inlineStr">
        <is>
          <t>CH-001</t>
        </is>
      </c>
      <c r="C2" s="2" t="inlineStr">
        <is>
          <t>Pago proveedor Maderas Perez</t>
        </is>
      </c>
      <c r="D2" s="3" t="n">
        <v>0</v>
      </c>
      <c r="E2" s="3" t="n">
        <v>15000</v>
      </c>
      <c r="F2" s="3" t="n">
        <v>15000</v>
      </c>
      <c r="G2" s="3">
        <f>D2-E2</f>
        <v/>
      </c>
    </row>
    <row r="3">
      <c r="A3" s="2" t="inlineStr">
        <is>
          <t>05/01/2025</t>
        </is>
      </c>
      <c r="B3" s="2" t="inlineStr">
        <is>
          <t>DP-001</t>
        </is>
      </c>
      <c r="C3" s="2" t="inlineStr">
        <is>
          <t>Deposito cliente Import Sur</t>
        </is>
      </c>
      <c r="D3" s="3" t="n">
        <v>35000</v>
      </c>
      <c r="E3" s="3" t="n">
        <v>0</v>
      </c>
      <c r="F3" s="3" t="n">
        <v>35000</v>
      </c>
      <c r="G3" s="3">
        <f>D3-E3</f>
        <v/>
      </c>
    </row>
    <row r="4">
      <c r="A4" s="2" t="inlineStr">
        <is>
          <t>08/01/2025</t>
        </is>
      </c>
      <c r="B4" s="2" t="inlineStr">
        <is>
          <t>CH-002</t>
        </is>
      </c>
      <c r="C4" s="2" t="inlineStr">
        <is>
          <t>Pago alquiler local</t>
        </is>
      </c>
      <c r="D4" s="3" t="n">
        <v>0</v>
      </c>
      <c r="E4" s="3" t="n">
        <v>5000</v>
      </c>
      <c r="F4" s="3" t="n">
        <v>5000</v>
      </c>
      <c r="G4" s="3">
        <f>D4-E4</f>
        <v/>
      </c>
    </row>
    <row r="5">
      <c r="A5" s="2" t="inlineStr">
        <is>
          <t>10/01/2025</t>
        </is>
      </c>
      <c r="B5" s="2" t="inlineStr">
        <is>
          <t>TF-001</t>
        </is>
      </c>
      <c r="C5" s="2" t="inlineStr">
        <is>
          <t>Transferencia proveedor</t>
        </is>
      </c>
      <c r="D5" s="3" t="n">
        <v>0</v>
      </c>
      <c r="E5" s="3" t="n">
        <v>8500</v>
      </c>
      <c r="F5" s="3" t="n">
        <v>8500</v>
      </c>
      <c r="G5" s="3">
        <f>D5-E5</f>
        <v/>
      </c>
    </row>
    <row r="6">
      <c r="A6" s="2" t="inlineStr">
        <is>
          <t>12/01/2025</t>
        </is>
      </c>
      <c r="B6" s="2" t="inlineStr">
        <is>
          <t>DP-002</t>
        </is>
      </c>
      <c r="C6" s="2" t="inlineStr">
        <is>
          <t>Deposito ventas varias</t>
        </is>
      </c>
      <c r="D6" s="3" t="n">
        <v>12000</v>
      </c>
      <c r="E6" s="3" t="n">
        <v>0</v>
      </c>
      <c r="F6" s="3" t="n">
        <v>12000</v>
      </c>
      <c r="G6" s="3">
        <f>D6-E6</f>
        <v/>
      </c>
    </row>
    <row r="7">
      <c r="A7" s="2" t="inlineStr">
        <is>
          <t>15/01/2025</t>
        </is>
      </c>
      <c r="B7" s="2" t="inlineStr">
        <is>
          <t>CH-003</t>
        </is>
      </c>
      <c r="C7" s="2" t="inlineStr">
        <is>
          <t>Pago servicios publicos</t>
        </is>
      </c>
      <c r="D7" s="3" t="n">
        <v>0</v>
      </c>
      <c r="E7" s="3" t="n">
        <v>1200</v>
      </c>
      <c r="F7" s="3" t="n">
        <v>1200</v>
      </c>
      <c r="G7" s="3">
        <f>D7-E7</f>
        <v/>
      </c>
    </row>
    <row r="8">
      <c r="A8" s="2" t="inlineStr">
        <is>
          <t>18/01/2025</t>
        </is>
      </c>
      <c r="B8" s="2" t="inlineStr">
        <is>
          <t>DP-003</t>
        </is>
      </c>
      <c r="C8" s="2" t="inlineStr">
        <is>
          <t>Cobranza factura F001</t>
        </is>
      </c>
      <c r="D8" s="3" t="n">
        <v>22000</v>
      </c>
      <c r="E8" s="3" t="n">
        <v>0</v>
      </c>
      <c r="F8" s="3" t="n">
        <v>22000</v>
      </c>
      <c r="G8" s="3">
        <f>D8-E8</f>
        <v/>
      </c>
    </row>
    <row r="9">
      <c r="A9" s="2" t="inlineStr">
        <is>
          <t>20/01/2025</t>
        </is>
      </c>
      <c r="B9" s="2" t="inlineStr">
        <is>
          <t>CH-004</t>
        </is>
      </c>
      <c r="C9" s="2" t="inlineStr">
        <is>
          <t>Pago nomina empleados</t>
        </is>
      </c>
      <c r="D9" s="3" t="n">
        <v>0</v>
      </c>
      <c r="E9" s="3" t="n">
        <v>18000</v>
      </c>
      <c r="F9" s="3" t="n">
        <v>18000</v>
      </c>
      <c r="G9" s="3">
        <f>D9-E9</f>
        <v/>
      </c>
    </row>
    <row r="10">
      <c r="A10" s="2" t="inlineStr">
        <is>
          <t>22/01/2025</t>
        </is>
      </c>
      <c r="B10" s="2" t="inlineStr">
        <is>
          <t>TF-002</t>
        </is>
      </c>
      <c r="C10" s="2" t="inlineStr">
        <is>
          <t>Transferencia a proveedor China</t>
        </is>
      </c>
      <c r="D10" s="3" t="n">
        <v>0</v>
      </c>
      <c r="E10" s="3" t="n">
        <v>32000</v>
      </c>
      <c r="F10" s="3" t="n">
        <v>32000</v>
      </c>
      <c r="G10" s="3">
        <f>D10-E10</f>
        <v/>
      </c>
    </row>
    <row r="11">
      <c r="A11" s="2" t="inlineStr">
        <is>
          <t>25/01/2025</t>
        </is>
      </c>
      <c r="B11" s="2" t="inlineStr">
        <is>
          <t>DP-004</t>
        </is>
      </c>
      <c r="C11" s="2" t="inlineStr">
        <is>
          <t>Deposito contado</t>
        </is>
      </c>
      <c r="D11" s="3" t="n">
        <v>8500</v>
      </c>
      <c r="E11" s="3" t="n">
        <v>0</v>
      </c>
      <c r="F11" s="3" t="n">
        <v>8500</v>
      </c>
      <c r="G11" s="3">
        <f>D11-E11</f>
        <v/>
      </c>
    </row>
    <row r="12">
      <c r="A12" s="2" t="inlineStr">
        <is>
          <t>28/01/2025</t>
        </is>
      </c>
      <c r="B12" s="2" t="inlineStr">
        <is>
          <t>CH-005</t>
        </is>
      </c>
      <c r="C12" s="2" t="inlineStr">
        <is>
          <t>Pago impuesto SUNAT</t>
        </is>
      </c>
      <c r="D12" s="3" t="n">
        <v>0</v>
      </c>
      <c r="E12" s="3" t="n">
        <v>4200</v>
      </c>
      <c r="F12" s="3" t="n">
        <v>4200</v>
      </c>
      <c r="G12" s="3">
        <f>D12-E12</f>
        <v/>
      </c>
    </row>
    <row r="13">
      <c r="A13" s="2" t="inlineStr">
        <is>
          <t>30/01/2025</t>
        </is>
      </c>
      <c r="B13" s="2" t="inlineStr">
        <is>
          <t>DP-005</t>
        </is>
      </c>
      <c r="C13" s="2" t="inlineStr">
        <is>
          <t>Deposito cliente Fact F002</t>
        </is>
      </c>
      <c r="D13" s="3" t="n">
        <v>16000</v>
      </c>
      <c r="E13" s="3" t="n">
        <v>0</v>
      </c>
      <c r="F13" s="3" t="n">
        <v>16000</v>
      </c>
      <c r="G13" s="3">
        <f>D13-E13</f>
        <v/>
      </c>
    </row>
    <row r="14">
      <c r="A14" t="inlineStr">
        <is>
          <t>SALDO FINAL LIBROS</t>
        </is>
      </c>
      <c r="B14" s="4">
        <f>SUM(D2:D13)-SUM(E2:E13)</f>
        <v/>
      </c>
    </row>
    <row r="15">
      <c r="A15" t="inlineStr">
        <is>
          <t>SALDO FINAL BANCO</t>
        </is>
      </c>
      <c r="B15" s="4">
        <f>SUM(F2:F13)</f>
        <v/>
      </c>
    </row>
    <row r="16">
      <c r="A16" s="5" t="inlineStr">
        <is>
          <t>DIFERENCIA</t>
        </is>
      </c>
      <c r="B16" s="4">
        <f>B14-B15</f>
        <v/>
      </c>
    </row>
  </sheetData>
  <conditionalFormatting sqref="G2:G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