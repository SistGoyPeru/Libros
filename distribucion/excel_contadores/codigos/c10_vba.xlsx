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cion Macro" sheetId="1" state="visible" r:id="rId1"/>
    <sheet xmlns:r="http://schemas.openxmlformats.org/officeDocument/2006/relationships" name="Extracto Banc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7E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11" customWidth="1" min="4" max="4"/>
    <col width="13" customWidth="1" min="5" max="5"/>
    <col width="45" customWidth="1" min="6" max="6"/>
  </cols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Descripcion</t>
        </is>
      </c>
      <c r="D1" s="1" t="inlineStr">
        <is>
          <t>Monto S/</t>
        </is>
      </c>
      <c r="E1" s="1" t="inlineStr">
        <is>
          <t>Estado</t>
        </is>
      </c>
      <c r="F1" s="1" t="inlineStr">
        <is>
          <t>Diferencia</t>
        </is>
      </c>
    </row>
    <row r="2">
      <c r="A2" s="2" t="inlineStr">
        <is>
          <t>26/11/2025</t>
        </is>
      </c>
      <c r="B2" s="2" t="inlineStr">
        <is>
          <t>REF-0001</t>
        </is>
      </c>
      <c r="C2" s="2" t="inlineStr">
        <is>
          <t>Pago proveedor</t>
        </is>
      </c>
      <c r="D2" s="3" t="n">
        <v>44926.25</v>
      </c>
      <c r="E2" s="2" t="inlineStr">
        <is>
          <t>CONCILIADO</t>
        </is>
      </c>
      <c r="F2" s="3">
        <f>SI.ERROR(D2-BUSCARX(B2,'Extracto Bancario'!B:B,'Extracto Bancario'!C:C),D2)</f>
        <v/>
      </c>
    </row>
    <row r="3">
      <c r="A3" s="2" t="inlineStr">
        <is>
          <t>16/03/2025</t>
        </is>
      </c>
      <c r="B3" s="2" t="inlineStr">
        <is>
          <t>REF-0002</t>
        </is>
      </c>
      <c r="C3" s="2" t="inlineStr">
        <is>
          <t>Deposito bancario</t>
        </is>
      </c>
      <c r="D3" s="3" t="n">
        <v>16587.77</v>
      </c>
      <c r="E3" s="2" t="inlineStr">
        <is>
          <t>PENDIENTE</t>
        </is>
      </c>
      <c r="F3" s="3">
        <f>SI.ERROR(D3-BUSCARX(B3,'Extracto Bancario'!B:B,'Extracto Bancario'!C:C),D3)</f>
        <v/>
      </c>
    </row>
    <row r="4">
      <c r="A4" s="2" t="inlineStr">
        <is>
          <t>21/04/2025</t>
        </is>
      </c>
      <c r="B4" s="2" t="inlineStr">
        <is>
          <t>REF-0003</t>
        </is>
      </c>
      <c r="C4" s="2" t="inlineStr">
        <is>
          <t>Cobranza cliente</t>
        </is>
      </c>
      <c r="D4" s="3" t="n">
        <v>13964.61</v>
      </c>
      <c r="E4" s="2" t="inlineStr">
        <is>
          <t>PENDIENTE</t>
        </is>
      </c>
      <c r="F4" s="3">
        <f>SI.ERROR(D4-BUSCARX(B4,'Extracto Bancario'!B:B,'Extracto Bancario'!C:C),D4)</f>
        <v/>
      </c>
    </row>
    <row r="5">
      <c r="A5" s="2" t="inlineStr">
        <is>
          <t>23/05/2025</t>
        </is>
      </c>
      <c r="B5" s="2" t="inlineStr">
        <is>
          <t>REF-0004</t>
        </is>
      </c>
      <c r="C5" s="2" t="inlineStr">
        <is>
          <t>Venta contado</t>
        </is>
      </c>
      <c r="D5" s="3" t="n">
        <v>44144.67</v>
      </c>
      <c r="E5" s="2" t="inlineStr">
        <is>
          <t>PENDIENTE</t>
        </is>
      </c>
      <c r="F5" s="3">
        <f>SI.ERROR(D5-BUSCARX(B5,'Extracto Bancario'!B:B,'Extracto Bancario'!C:C),D5)</f>
        <v/>
      </c>
    </row>
    <row r="6">
      <c r="A6" s="2" t="inlineStr">
        <is>
          <t>27/11/2025</t>
        </is>
      </c>
      <c r="B6" s="2" t="inlineStr">
        <is>
          <t>REF-0005</t>
        </is>
      </c>
      <c r="C6" s="2" t="inlineStr">
        <is>
          <t>Venta contado</t>
        </is>
      </c>
      <c r="D6" s="3" t="n">
        <v>4668.26</v>
      </c>
      <c r="E6" s="2" t="inlineStr">
        <is>
          <t>PENDIENTE</t>
        </is>
      </c>
      <c r="F6" s="3">
        <f>SI.ERROR(D6-BUSCARX(B6,'Extracto Bancario'!B:B,'Extracto Bancario'!C:C),D6)</f>
        <v/>
      </c>
    </row>
    <row r="7">
      <c r="A7" s="2" t="inlineStr">
        <is>
          <t>07/11/2025</t>
        </is>
      </c>
      <c r="B7" s="2" t="inlineStr">
        <is>
          <t>REF-0006</t>
        </is>
      </c>
      <c r="C7" s="2" t="inlineStr">
        <is>
          <t>Pago servicios</t>
        </is>
      </c>
      <c r="D7" s="3" t="n">
        <v>11212.16</v>
      </c>
      <c r="E7" s="2" t="inlineStr">
        <is>
          <t>CONCILIADO</t>
        </is>
      </c>
      <c r="F7" s="3">
        <f>SI.ERROR(D7-BUSCARX(B7,'Extracto Bancario'!B:B,'Extracto Bancario'!C:C),D7)</f>
        <v/>
      </c>
    </row>
    <row r="8">
      <c r="A8" s="2" t="inlineStr">
        <is>
          <t>06/02/2025</t>
        </is>
      </c>
      <c r="B8" s="2" t="inlineStr">
        <is>
          <t>REF-0007</t>
        </is>
      </c>
      <c r="C8" s="2" t="inlineStr">
        <is>
          <t>Pago servicios</t>
        </is>
      </c>
      <c r="D8" s="3" t="n">
        <v>44294.16</v>
      </c>
      <c r="E8" s="2" t="inlineStr">
        <is>
          <t>CONCILIADO</t>
        </is>
      </c>
      <c r="F8" s="3">
        <f>SI.ERROR(D8-BUSCARX(B8,'Extracto Bancario'!B:B,'Extracto Bancario'!C:C),D8)</f>
        <v/>
      </c>
    </row>
    <row r="9">
      <c r="A9" s="2" t="inlineStr">
        <is>
          <t>23/12/2025</t>
        </is>
      </c>
      <c r="B9" s="2" t="inlineStr">
        <is>
          <t>REF-0008</t>
        </is>
      </c>
      <c r="C9" s="2" t="inlineStr">
        <is>
          <t>Compra materiales</t>
        </is>
      </c>
      <c r="D9" s="3" t="n">
        <v>7355.59</v>
      </c>
      <c r="E9" s="2" t="inlineStr">
        <is>
          <t>CONCILIADO</t>
        </is>
      </c>
      <c r="F9" s="3">
        <f>SI.ERROR(D9-BUSCARX(B9,'Extracto Bancario'!B:B,'Extracto Bancario'!C:C),D9)</f>
        <v/>
      </c>
    </row>
    <row r="10">
      <c r="A10" s="2" t="inlineStr">
        <is>
          <t>15/01/2025</t>
        </is>
      </c>
      <c r="B10" s="2" t="inlineStr">
        <is>
          <t>REF-0009</t>
        </is>
      </c>
      <c r="C10" s="2" t="inlineStr">
        <is>
          <t>Deposito bancario</t>
        </is>
      </c>
      <c r="D10" s="3" t="n">
        <v>3698.34</v>
      </c>
      <c r="E10" s="2" t="inlineStr">
        <is>
          <t>PENDIENTE</t>
        </is>
      </c>
      <c r="F10" s="3">
        <f>SI.ERROR(D10-BUSCARX(B10,'Extracto Bancario'!B:B,'Extracto Bancario'!C:C),D10)</f>
        <v/>
      </c>
    </row>
    <row r="11">
      <c r="A11" s="2" t="inlineStr">
        <is>
          <t>24/11/2025</t>
        </is>
      </c>
      <c r="B11" s="2" t="inlineStr">
        <is>
          <t>REF-0010</t>
        </is>
      </c>
      <c r="C11" s="2" t="inlineStr">
        <is>
          <t>Cobranza cliente</t>
        </is>
      </c>
      <c r="D11" s="3" t="n">
        <v>20796.34</v>
      </c>
      <c r="E11" s="2" t="inlineStr">
        <is>
          <t>CONCILIADO</t>
        </is>
      </c>
      <c r="F11" s="3">
        <f>SI.ERROR(D11-BUSCARX(B11,'Extracto Bancario'!B:B,'Extracto Bancario'!C:C),D11)</f>
        <v/>
      </c>
    </row>
    <row r="12">
      <c r="A12" s="2" t="inlineStr">
        <is>
          <t>28/09/2025</t>
        </is>
      </c>
      <c r="B12" s="2" t="inlineStr">
        <is>
          <t>REF-0011</t>
        </is>
      </c>
      <c r="C12" s="2" t="inlineStr">
        <is>
          <t>Compra materiales</t>
        </is>
      </c>
      <c r="D12" s="3" t="n">
        <v>3071.11</v>
      </c>
      <c r="E12" s="2" t="inlineStr">
        <is>
          <t>PENDIENTE</t>
        </is>
      </c>
      <c r="F12" s="3">
        <f>SI.ERROR(D12-BUSCARX(B12,'Extracto Bancario'!B:B,'Extracto Bancario'!C:C),D12)</f>
        <v/>
      </c>
    </row>
    <row r="13">
      <c r="A13" s="2" t="inlineStr">
        <is>
          <t>15/02/2025</t>
        </is>
      </c>
      <c r="B13" s="2" t="inlineStr">
        <is>
          <t>REF-0012</t>
        </is>
      </c>
      <c r="C13" s="2" t="inlineStr">
        <is>
          <t>Venta contado</t>
        </is>
      </c>
      <c r="D13" s="3" t="n">
        <v>45768.7</v>
      </c>
      <c r="E13" s="2" t="inlineStr">
        <is>
          <t>PENDIENTE</t>
        </is>
      </c>
      <c r="F13" s="3">
        <f>SI.ERROR(D13-BUSCARX(B13,'Extracto Bancario'!B:B,'Extracto Bancario'!C:C),D13)</f>
        <v/>
      </c>
    </row>
    <row r="14">
      <c r="A14" s="2" t="inlineStr">
        <is>
          <t>07/04/2025</t>
        </is>
      </c>
      <c r="B14" s="2" t="inlineStr">
        <is>
          <t>REF-0013</t>
        </is>
      </c>
      <c r="C14" s="2" t="inlineStr">
        <is>
          <t>Pago proveedor</t>
        </is>
      </c>
      <c r="D14" s="3" t="n">
        <v>39984.84</v>
      </c>
      <c r="E14" s="2" t="inlineStr">
        <is>
          <t>PENDIENTE</t>
        </is>
      </c>
      <c r="F14" s="3">
        <f>SI.ERROR(D14-BUSCARX(B14,'Extracto Bancario'!B:B,'Extracto Bancario'!C:C),D14)</f>
        <v/>
      </c>
    </row>
    <row r="15">
      <c r="A15" s="2" t="inlineStr">
        <is>
          <t>01/09/2025</t>
        </is>
      </c>
      <c r="B15" s="2" t="inlineStr">
        <is>
          <t>REF-0014</t>
        </is>
      </c>
      <c r="C15" s="2" t="inlineStr">
        <is>
          <t>Deposito bancario</t>
        </is>
      </c>
      <c r="D15" s="3" t="n">
        <v>14808.06</v>
      </c>
      <c r="E15" s="2" t="inlineStr">
        <is>
          <t>PENDIENTE</t>
        </is>
      </c>
      <c r="F15" s="3">
        <f>SI.ERROR(D15-BUSCARX(B15,'Extracto Bancario'!B:B,'Extracto Bancario'!C:C),D15)</f>
        <v/>
      </c>
    </row>
    <row r="16">
      <c r="A16" s="2" t="inlineStr">
        <is>
          <t>16/10/2025</t>
        </is>
      </c>
      <c r="B16" s="2" t="inlineStr">
        <is>
          <t>REF-0015</t>
        </is>
      </c>
      <c r="C16" s="2" t="inlineStr">
        <is>
          <t>Compra materiales</t>
        </is>
      </c>
      <c r="D16" s="3" t="n">
        <v>43109.95</v>
      </c>
      <c r="E16" s="2" t="inlineStr">
        <is>
          <t>PENDIENTE</t>
        </is>
      </c>
      <c r="F16" s="3">
        <f>SI.ERROR(D16-BUSCARX(B16,'Extracto Bancario'!B:B,'Extracto Bancario'!C:C),D16)</f>
        <v/>
      </c>
    </row>
    <row r="17">
      <c r="A17" s="2" t="inlineStr">
        <is>
          <t>26/01/2025</t>
        </is>
      </c>
      <c r="B17" s="2" t="inlineStr">
        <is>
          <t>REF-0016</t>
        </is>
      </c>
      <c r="C17" s="2" t="inlineStr">
        <is>
          <t>Venta contado</t>
        </is>
      </c>
      <c r="D17" s="3" t="n">
        <v>26660.28</v>
      </c>
      <c r="E17" s="2" t="inlineStr">
        <is>
          <t>CONCILIADO</t>
        </is>
      </c>
      <c r="F17" s="3">
        <f>SI.ERROR(D17-BUSCARX(B17,'Extracto Bancario'!B:B,'Extracto Bancario'!C:C),D17)</f>
        <v/>
      </c>
    </row>
    <row r="18">
      <c r="A18" s="2" t="inlineStr">
        <is>
          <t>19/02/2025</t>
        </is>
      </c>
      <c r="B18" s="2" t="inlineStr">
        <is>
          <t>REF-0017</t>
        </is>
      </c>
      <c r="C18" s="2" t="inlineStr">
        <is>
          <t>Deposito bancario</t>
        </is>
      </c>
      <c r="D18" s="3" t="n">
        <v>3809.57</v>
      </c>
      <c r="E18" s="2" t="inlineStr">
        <is>
          <t>CONCILIADO</t>
        </is>
      </c>
      <c r="F18" s="3">
        <f>SI.ERROR(D18-BUSCARX(B18,'Extracto Bancario'!B:B,'Extracto Bancario'!C:C),D18)</f>
        <v/>
      </c>
    </row>
    <row r="19">
      <c r="A19" s="2" t="inlineStr">
        <is>
          <t>17/05/2025</t>
        </is>
      </c>
      <c r="B19" s="2" t="inlineStr">
        <is>
          <t>REF-0018</t>
        </is>
      </c>
      <c r="C19" s="2" t="inlineStr">
        <is>
          <t>Venta contado</t>
        </is>
      </c>
      <c r="D19" s="3" t="n">
        <v>3503.88</v>
      </c>
      <c r="E19" s="2" t="inlineStr">
        <is>
          <t>CONCILIADO</t>
        </is>
      </c>
      <c r="F19" s="3">
        <f>SI.ERROR(D19-BUSCARX(B19,'Extracto Bancario'!B:B,'Extracto Bancario'!C:C),D19)</f>
        <v/>
      </c>
    </row>
    <row r="20">
      <c r="A20" s="2" t="inlineStr">
        <is>
          <t>02/01/2025</t>
        </is>
      </c>
      <c r="B20" s="2" t="inlineStr">
        <is>
          <t>REF-0019</t>
        </is>
      </c>
      <c r="C20" s="2" t="inlineStr">
        <is>
          <t>Venta contado</t>
        </is>
      </c>
      <c r="D20" s="3" t="n">
        <v>42216.93</v>
      </c>
      <c r="E20" s="2" t="inlineStr">
        <is>
          <t>PENDIENTE</t>
        </is>
      </c>
      <c r="F20" s="3">
        <f>SI.ERROR(D20-BUSCARX(B20,'Extracto Bancario'!B:B,'Extracto Bancario'!C:C),D20)</f>
        <v/>
      </c>
    </row>
    <row r="21">
      <c r="A21" s="2" t="inlineStr">
        <is>
          <t>21/02/2025</t>
        </is>
      </c>
      <c r="B21" s="2" t="inlineStr">
        <is>
          <t>REF-0020</t>
        </is>
      </c>
      <c r="C21" s="2" t="inlineStr">
        <is>
          <t>Compra materiales</t>
        </is>
      </c>
      <c r="D21" s="3" t="n">
        <v>41926.47</v>
      </c>
      <c r="E21" s="2" t="inlineStr">
        <is>
          <t>PENDIENTE</t>
        </is>
      </c>
      <c r="F21" s="3">
        <f>SI.ERROR(D21-BUSCARX(B21,'Extracto Bancario'!B:B,'Extracto Bancario'!C:C),D21)</f>
        <v/>
      </c>
    </row>
    <row r="22">
      <c r="A22" s="2" t="inlineStr">
        <is>
          <t>18/08/2025</t>
        </is>
      </c>
      <c r="B22" s="2" t="inlineStr">
        <is>
          <t>REF-0021</t>
        </is>
      </c>
      <c r="C22" s="2" t="inlineStr">
        <is>
          <t>Compra materiales</t>
        </is>
      </c>
      <c r="D22" s="3" t="n">
        <v>7960.39</v>
      </c>
      <c r="E22" s="2" t="inlineStr">
        <is>
          <t>CONCILIADO</t>
        </is>
      </c>
      <c r="F22" s="3">
        <f>SI.ERROR(D22-BUSCARX(B22,'Extracto Bancario'!B:B,'Extracto Bancario'!C:C),D22)</f>
        <v/>
      </c>
    </row>
    <row r="23">
      <c r="A23" s="2" t="inlineStr">
        <is>
          <t>06/08/2025</t>
        </is>
      </c>
      <c r="B23" s="2" t="inlineStr">
        <is>
          <t>REF-0022</t>
        </is>
      </c>
      <c r="C23" s="2" t="inlineStr">
        <is>
          <t>Pago servicios</t>
        </is>
      </c>
      <c r="D23" s="3" t="n">
        <v>2936.19</v>
      </c>
      <c r="E23" s="2" t="inlineStr">
        <is>
          <t>CONCILIADO</t>
        </is>
      </c>
      <c r="F23" s="3">
        <f>SI.ERROR(D23-BUSCARX(B23,'Extracto Bancario'!B:B,'Extracto Bancario'!C:C),D23)</f>
        <v/>
      </c>
    </row>
    <row r="24">
      <c r="A24" s="2" t="inlineStr">
        <is>
          <t>20/09/2025</t>
        </is>
      </c>
      <c r="B24" s="2" t="inlineStr">
        <is>
          <t>REF-0023</t>
        </is>
      </c>
      <c r="C24" s="2" t="inlineStr">
        <is>
          <t>Pago proveedor</t>
        </is>
      </c>
      <c r="D24" s="3" t="n">
        <v>38605.39</v>
      </c>
      <c r="E24" s="2" t="inlineStr">
        <is>
          <t>CONCILIADO</t>
        </is>
      </c>
      <c r="F24" s="3">
        <f>SI.ERROR(D24-BUSCARX(B24,'Extracto Bancario'!B:B,'Extracto Bancario'!C:C),D24)</f>
        <v/>
      </c>
    </row>
    <row r="25">
      <c r="A25" s="2" t="inlineStr">
        <is>
          <t>02/03/2025</t>
        </is>
      </c>
      <c r="B25" s="2" t="inlineStr">
        <is>
          <t>REF-0024</t>
        </is>
      </c>
      <c r="C25" s="2" t="inlineStr">
        <is>
          <t>Venta contado</t>
        </is>
      </c>
      <c r="D25" s="3" t="n">
        <v>29446.59</v>
      </c>
      <c r="E25" s="2" t="inlineStr">
        <is>
          <t>PENDIENTE</t>
        </is>
      </c>
      <c r="F25" s="3">
        <f>SI.ERROR(D25-BUSCARX(B25,'Extracto Bancario'!B:B,'Extracto Bancario'!C:C),D25)</f>
        <v/>
      </c>
    </row>
    <row r="26">
      <c r="A26" s="2" t="inlineStr">
        <is>
          <t>12/01/2025</t>
        </is>
      </c>
      <c r="B26" s="2" t="inlineStr">
        <is>
          <t>REF-0025</t>
        </is>
      </c>
      <c r="C26" s="2" t="inlineStr">
        <is>
          <t>Pago servicios</t>
        </is>
      </c>
      <c r="D26" s="3" t="n">
        <v>24961.49</v>
      </c>
      <c r="E26" s="2" t="inlineStr">
        <is>
          <t>PENDIENTE</t>
        </is>
      </c>
      <c r="F26" s="3">
        <f>SI.ERROR(D26-BUSCARX(B26,'Extracto Bancario'!B:B,'Extracto Bancario'!C:C),D26)</f>
        <v/>
      </c>
    </row>
    <row r="27">
      <c r="A27" s="2" t="inlineStr">
        <is>
          <t>13/07/2025</t>
        </is>
      </c>
      <c r="B27" s="2" t="inlineStr">
        <is>
          <t>REF-0026</t>
        </is>
      </c>
      <c r="C27" s="2" t="inlineStr">
        <is>
          <t>Venta contado</t>
        </is>
      </c>
      <c r="D27" s="3" t="n">
        <v>25551.07</v>
      </c>
      <c r="E27" s="2" t="inlineStr">
        <is>
          <t>PENDIENTE</t>
        </is>
      </c>
      <c r="F27" s="3">
        <f>SI.ERROR(D27-BUSCARX(B27,'Extracto Bancario'!B:B,'Extracto Bancario'!C:C),D27)</f>
        <v/>
      </c>
    </row>
    <row r="28">
      <c r="A28" s="2" t="inlineStr">
        <is>
          <t>12/01/2025</t>
        </is>
      </c>
      <c r="B28" s="2" t="inlineStr">
        <is>
          <t>REF-0027</t>
        </is>
      </c>
      <c r="C28" s="2" t="inlineStr">
        <is>
          <t>Cobranza cliente</t>
        </is>
      </c>
      <c r="D28" s="3" t="n">
        <v>22827.72</v>
      </c>
      <c r="E28" s="2" t="inlineStr">
        <is>
          <t>CONCILIADO</t>
        </is>
      </c>
      <c r="F28" s="3">
        <f>SI.ERROR(D28-BUSCARX(B28,'Extracto Bancario'!B:B,'Extracto Bancario'!C:C),D28)</f>
        <v/>
      </c>
    </row>
    <row r="29">
      <c r="A29" s="2" t="inlineStr">
        <is>
          <t>08/01/2025</t>
        </is>
      </c>
      <c r="B29" s="2" t="inlineStr">
        <is>
          <t>REF-0028</t>
        </is>
      </c>
      <c r="C29" s="2" t="inlineStr">
        <is>
          <t>Pago servicios</t>
        </is>
      </c>
      <c r="D29" s="3" t="n">
        <v>36364.26</v>
      </c>
      <c r="E29" s="2" t="inlineStr">
        <is>
          <t>CONCILIADO</t>
        </is>
      </c>
      <c r="F29" s="3">
        <f>SI.ERROR(D29-BUSCARX(B29,'Extracto Bancario'!B:B,'Extracto Bancario'!C:C),D29)</f>
        <v/>
      </c>
    </row>
    <row r="30">
      <c r="A30" s="2" t="inlineStr">
        <is>
          <t>02/12/2025</t>
        </is>
      </c>
      <c r="B30" s="2" t="inlineStr">
        <is>
          <t>REF-0029</t>
        </is>
      </c>
      <c r="C30" s="2" t="inlineStr">
        <is>
          <t>Compra materiales</t>
        </is>
      </c>
      <c r="D30" s="3" t="n">
        <v>14703.75</v>
      </c>
      <c r="E30" s="2" t="inlineStr">
        <is>
          <t>CONCILIADO</t>
        </is>
      </c>
      <c r="F30" s="3">
        <f>SI.ERROR(D30-BUSCARX(B30,'Extracto Bancario'!B:B,'Extracto Bancario'!C:C),D30)</f>
        <v/>
      </c>
    </row>
    <row r="31">
      <c r="A31" s="2" t="inlineStr">
        <is>
          <t>19/12/2025</t>
        </is>
      </c>
      <c r="B31" s="2" t="inlineStr">
        <is>
          <t>REF-0030</t>
        </is>
      </c>
      <c r="C31" s="2" t="inlineStr">
        <is>
          <t>Pago proveedor</t>
        </is>
      </c>
      <c r="D31" s="3" t="n">
        <v>17480.09</v>
      </c>
      <c r="E31" s="2" t="inlineStr">
        <is>
          <t>PENDIENTE</t>
        </is>
      </c>
      <c r="F31" s="3">
        <f>SI.ERROR(D31-BUSCARX(B31,'Extracto Bancario'!B:B,'Extracto Bancario'!C:C),D31)</f>
        <v/>
      </c>
    </row>
    <row r="32">
      <c r="A32" s="2" t="inlineStr">
        <is>
          <t>25/07/2025</t>
        </is>
      </c>
      <c r="B32" s="2" t="inlineStr">
        <is>
          <t>REF-0031</t>
        </is>
      </c>
      <c r="C32" s="2" t="inlineStr">
        <is>
          <t>Venta contado</t>
        </is>
      </c>
      <c r="D32" s="3" t="n">
        <v>14025.9</v>
      </c>
      <c r="E32" s="2" t="inlineStr">
        <is>
          <t>CONCILIADO</t>
        </is>
      </c>
      <c r="F32" s="3">
        <f>SI.ERROR(D32-BUSCARX(B32,'Extracto Bancario'!B:B,'Extracto Bancario'!C:C),D32)</f>
        <v/>
      </c>
    </row>
    <row r="33">
      <c r="A33" s="2" t="inlineStr">
        <is>
          <t>06/01/2025</t>
        </is>
      </c>
      <c r="B33" s="2" t="inlineStr">
        <is>
          <t>REF-0032</t>
        </is>
      </c>
      <c r="C33" s="2" t="inlineStr">
        <is>
          <t>Deposito bancario</t>
        </is>
      </c>
      <c r="D33" s="3" t="n">
        <v>12987.07</v>
      </c>
      <c r="E33" s="2" t="inlineStr">
        <is>
          <t>PENDIENTE</t>
        </is>
      </c>
      <c r="F33" s="3">
        <f>SI.ERROR(D33-BUSCARX(B33,'Extracto Bancario'!B:B,'Extracto Bancario'!C:C),D33)</f>
        <v/>
      </c>
    </row>
    <row r="34">
      <c r="A34" s="2" t="inlineStr">
        <is>
          <t>28/12/2025</t>
        </is>
      </c>
      <c r="B34" s="2" t="inlineStr">
        <is>
          <t>REF-0033</t>
        </is>
      </c>
      <c r="C34" s="2" t="inlineStr">
        <is>
          <t>Pago servicios</t>
        </is>
      </c>
      <c r="D34" s="3" t="n">
        <v>28026.09</v>
      </c>
      <c r="E34" s="2" t="inlineStr">
        <is>
          <t>CONCILIADO</t>
        </is>
      </c>
      <c r="F34" s="3">
        <f>SI.ERROR(D34-BUSCARX(B34,'Extracto Bancario'!B:B,'Extracto Bancario'!C:C),D34)</f>
        <v/>
      </c>
    </row>
    <row r="35">
      <c r="A35" s="2" t="inlineStr">
        <is>
          <t>10/09/2025</t>
        </is>
      </c>
      <c r="B35" s="2" t="inlineStr">
        <is>
          <t>REF-0034</t>
        </is>
      </c>
      <c r="C35" s="2" t="inlineStr">
        <is>
          <t>Deposito bancario</t>
        </is>
      </c>
      <c r="D35" s="3" t="n">
        <v>48522.08</v>
      </c>
      <c r="E35" s="2" t="inlineStr">
        <is>
          <t>CONCILIADO</t>
        </is>
      </c>
      <c r="F35" s="3">
        <f>SI.ERROR(D35-BUSCARX(B35,'Extracto Bancario'!B:B,'Extracto Bancario'!C:C),D35)</f>
        <v/>
      </c>
    </row>
    <row r="36">
      <c r="A36" s="2" t="inlineStr">
        <is>
          <t>06/12/2025</t>
        </is>
      </c>
      <c r="B36" s="2" t="inlineStr">
        <is>
          <t>REF-0035</t>
        </is>
      </c>
      <c r="C36" s="2" t="inlineStr">
        <is>
          <t>Pago servicios</t>
        </is>
      </c>
      <c r="D36" s="3" t="n">
        <v>48067.99</v>
      </c>
      <c r="E36" s="2" t="inlineStr">
        <is>
          <t>PENDIENTE</t>
        </is>
      </c>
      <c r="F36" s="3">
        <f>SI.ERROR(D36-BUSCARX(B36,'Extracto Bancario'!B:B,'Extracto Bancario'!C:C),D36)</f>
        <v/>
      </c>
    </row>
    <row r="37">
      <c r="A37" s="2" t="inlineStr">
        <is>
          <t>25/10/2025</t>
        </is>
      </c>
      <c r="B37" s="2" t="inlineStr">
        <is>
          <t>REF-0036</t>
        </is>
      </c>
      <c r="C37" s="2" t="inlineStr">
        <is>
          <t>Pago proveedor</t>
        </is>
      </c>
      <c r="D37" s="3" t="n">
        <v>27576.94</v>
      </c>
      <c r="E37" s="2" t="inlineStr">
        <is>
          <t>PENDIENTE</t>
        </is>
      </c>
      <c r="F37" s="3">
        <f>SI.ERROR(D37-BUSCARX(B37,'Extracto Bancario'!B:B,'Extracto Bancario'!C:C),D37)</f>
        <v/>
      </c>
    </row>
    <row r="38">
      <c r="A38" s="2" t="inlineStr">
        <is>
          <t>11/01/2025</t>
        </is>
      </c>
      <c r="B38" s="2" t="inlineStr">
        <is>
          <t>REF-0037</t>
        </is>
      </c>
      <c r="C38" s="2" t="inlineStr">
        <is>
          <t>Venta contado</t>
        </is>
      </c>
      <c r="D38" s="3" t="n">
        <v>40051.56</v>
      </c>
      <c r="E38" s="2" t="inlineStr">
        <is>
          <t>PENDIENTE</t>
        </is>
      </c>
      <c r="F38" s="3">
        <f>SI.ERROR(D38-BUSCARX(B38,'Extracto Bancario'!B:B,'Extracto Bancario'!C:C),D38)</f>
        <v/>
      </c>
    </row>
    <row r="39">
      <c r="A39" s="2" t="inlineStr">
        <is>
          <t>05/05/2025</t>
        </is>
      </c>
      <c r="B39" s="2" t="inlineStr">
        <is>
          <t>REF-0038</t>
        </is>
      </c>
      <c r="C39" s="2" t="inlineStr">
        <is>
          <t>Venta contado</t>
        </is>
      </c>
      <c r="D39" s="3" t="n">
        <v>29617.78</v>
      </c>
      <c r="E39" s="2" t="inlineStr">
        <is>
          <t>PENDIENTE</t>
        </is>
      </c>
      <c r="F39" s="3">
        <f>SI.ERROR(D39-BUSCARX(B39,'Extracto Bancario'!B:B,'Extracto Bancario'!C:C),D39)</f>
        <v/>
      </c>
    </row>
    <row r="40">
      <c r="A40" s="2" t="inlineStr">
        <is>
          <t>11/11/2025</t>
        </is>
      </c>
      <c r="B40" s="2" t="inlineStr">
        <is>
          <t>REF-0039</t>
        </is>
      </c>
      <c r="C40" s="2" t="inlineStr">
        <is>
          <t>Compra materiales</t>
        </is>
      </c>
      <c r="D40" s="3" t="n">
        <v>20848.85</v>
      </c>
      <c r="E40" s="2" t="inlineStr">
        <is>
          <t>PENDIENTE</t>
        </is>
      </c>
      <c r="F40" s="3">
        <f>SI.ERROR(D40-BUSCARX(B40,'Extracto Bancario'!B:B,'Extracto Bancario'!C:C),D40)</f>
        <v/>
      </c>
    </row>
    <row r="41">
      <c r="A41" s="2" t="inlineStr">
        <is>
          <t>25/07/2025</t>
        </is>
      </c>
      <c r="B41" s="2" t="inlineStr">
        <is>
          <t>REF-0040</t>
        </is>
      </c>
      <c r="C41" s="2" t="inlineStr">
        <is>
          <t>Deposito bancario</t>
        </is>
      </c>
      <c r="D41" s="3" t="n">
        <v>38002.51</v>
      </c>
      <c r="E41" s="2" t="inlineStr">
        <is>
          <t>PENDIENTE</t>
        </is>
      </c>
      <c r="F41" s="3">
        <f>SI.ERROR(D41-BUSCARX(B41,'Extracto Bancario'!B:B,'Extracto Bancario'!C:C),D41)</f>
        <v/>
      </c>
    </row>
    <row r="42">
      <c r="A42" s="2" t="inlineStr">
        <is>
          <t>02/07/2025</t>
        </is>
      </c>
      <c r="B42" s="2" t="inlineStr">
        <is>
          <t>REF-0041</t>
        </is>
      </c>
      <c r="C42" s="2" t="inlineStr">
        <is>
          <t>Pago servicios</t>
        </is>
      </c>
      <c r="D42" s="3" t="n">
        <v>40346.9</v>
      </c>
      <c r="E42" s="2" t="inlineStr">
        <is>
          <t>CONCILIADO</t>
        </is>
      </c>
      <c r="F42" s="3">
        <f>SI.ERROR(D42-BUSCARX(B42,'Extracto Bancario'!B:B,'Extracto Bancario'!C:C),D42)</f>
        <v/>
      </c>
    </row>
    <row r="43">
      <c r="A43" s="2" t="inlineStr">
        <is>
          <t>26/10/2025</t>
        </is>
      </c>
      <c r="B43" s="2" t="inlineStr">
        <is>
          <t>REF-0042</t>
        </is>
      </c>
      <c r="C43" s="2" t="inlineStr">
        <is>
          <t>Pago proveedor</t>
        </is>
      </c>
      <c r="D43" s="3" t="n">
        <v>4478.87</v>
      </c>
      <c r="E43" s="2" t="inlineStr">
        <is>
          <t>PENDIENTE</t>
        </is>
      </c>
      <c r="F43" s="3">
        <f>SI.ERROR(D43-BUSCARX(B43,'Extracto Bancario'!B:B,'Extracto Bancario'!C:C),D43)</f>
        <v/>
      </c>
    </row>
    <row r="44">
      <c r="A44" s="2" t="inlineStr">
        <is>
          <t>24/10/2025</t>
        </is>
      </c>
      <c r="B44" s="2" t="inlineStr">
        <is>
          <t>REF-0043</t>
        </is>
      </c>
      <c r="C44" s="2" t="inlineStr">
        <is>
          <t>Deposito bancario</t>
        </is>
      </c>
      <c r="D44" s="3" t="n">
        <v>19763.67</v>
      </c>
      <c r="E44" s="2" t="inlineStr">
        <is>
          <t>CONCILIADO</t>
        </is>
      </c>
      <c r="F44" s="3">
        <f>SI.ERROR(D44-BUSCARX(B44,'Extracto Bancario'!B:B,'Extracto Bancario'!C:C),D44)</f>
        <v/>
      </c>
    </row>
    <row r="45">
      <c r="A45" s="2" t="inlineStr">
        <is>
          <t>02/04/2025</t>
        </is>
      </c>
      <c r="B45" s="2" t="inlineStr">
        <is>
          <t>REF-0044</t>
        </is>
      </c>
      <c r="C45" s="2" t="inlineStr">
        <is>
          <t>Deposito bancario</t>
        </is>
      </c>
      <c r="D45" s="3" t="n">
        <v>43226.56</v>
      </c>
      <c r="E45" s="2" t="inlineStr">
        <is>
          <t>PENDIENTE</t>
        </is>
      </c>
      <c r="F45" s="3">
        <f>SI.ERROR(D45-BUSCARX(B45,'Extracto Bancario'!B:B,'Extracto Bancario'!C:C),D45)</f>
        <v/>
      </c>
    </row>
    <row r="46">
      <c r="A46" s="2" t="inlineStr">
        <is>
          <t>12/08/2025</t>
        </is>
      </c>
      <c r="B46" s="2" t="inlineStr">
        <is>
          <t>REF-0045</t>
        </is>
      </c>
      <c r="C46" s="2" t="inlineStr">
        <is>
          <t>Cobranza cliente</t>
        </is>
      </c>
      <c r="D46" s="3" t="n">
        <v>40893.62</v>
      </c>
      <c r="E46" s="2" t="inlineStr">
        <is>
          <t>PENDIENTE</t>
        </is>
      </c>
      <c r="F46" s="3">
        <f>SI.ERROR(D46-BUSCARX(B46,'Extracto Bancario'!B:B,'Extracto Bancario'!C:C),D46)</f>
        <v/>
      </c>
    </row>
    <row r="47">
      <c r="A47" s="2" t="inlineStr">
        <is>
          <t>04/03/2025</t>
        </is>
      </c>
      <c r="B47" s="2" t="inlineStr">
        <is>
          <t>REF-0046</t>
        </is>
      </c>
      <c r="C47" s="2" t="inlineStr">
        <is>
          <t>Cobranza cliente</t>
        </is>
      </c>
      <c r="D47" s="3" t="n">
        <v>26142.03</v>
      </c>
      <c r="E47" s="2" t="inlineStr">
        <is>
          <t>PENDIENTE</t>
        </is>
      </c>
      <c r="F47" s="3">
        <f>SI.ERROR(D47-BUSCARX(B47,'Extracto Bancario'!B:B,'Extracto Bancario'!C:C),D47)</f>
        <v/>
      </c>
    </row>
    <row r="48">
      <c r="A48" s="2" t="inlineStr">
        <is>
          <t>02/12/2025</t>
        </is>
      </c>
      <c r="B48" s="2" t="inlineStr">
        <is>
          <t>REF-0047</t>
        </is>
      </c>
      <c r="C48" s="2" t="inlineStr">
        <is>
          <t>Pago servicios</t>
        </is>
      </c>
      <c r="D48" s="3" t="n">
        <v>46998.19</v>
      </c>
      <c r="E48" s="2" t="inlineStr">
        <is>
          <t>CONCILIADO</t>
        </is>
      </c>
      <c r="F48" s="3">
        <f>SI.ERROR(D48-BUSCARX(B48,'Extracto Bancario'!B:B,'Extracto Bancario'!C:C),D48)</f>
        <v/>
      </c>
    </row>
    <row r="49">
      <c r="A49" s="2" t="inlineStr">
        <is>
          <t>17/06/2025</t>
        </is>
      </c>
      <c r="B49" s="2" t="inlineStr">
        <is>
          <t>REF-0048</t>
        </is>
      </c>
      <c r="C49" s="2" t="inlineStr">
        <is>
          <t>Venta contado</t>
        </is>
      </c>
      <c r="D49" s="3" t="n">
        <v>25174.63</v>
      </c>
      <c r="E49" s="2" t="inlineStr">
        <is>
          <t>PENDIENTE</t>
        </is>
      </c>
      <c r="F49" s="3">
        <f>SI.ERROR(D49-BUSCARX(B49,'Extracto Bancario'!B:B,'Extracto Bancario'!C:C),D49)</f>
        <v/>
      </c>
    </row>
    <row r="50">
      <c r="A50" s="2" t="inlineStr">
        <is>
          <t>08/04/2025</t>
        </is>
      </c>
      <c r="B50" s="2" t="inlineStr">
        <is>
          <t>REF-0049</t>
        </is>
      </c>
      <c r="C50" s="2" t="inlineStr">
        <is>
          <t>Compra materiales</t>
        </is>
      </c>
      <c r="D50" s="3" t="n">
        <v>20040.96</v>
      </c>
      <c r="E50" s="2" t="inlineStr">
        <is>
          <t>CONCILIADO</t>
        </is>
      </c>
      <c r="F50" s="3">
        <f>SI.ERROR(D50-BUSCARX(B50,'Extracto Bancario'!B:B,'Extracto Bancario'!C:C),D50)</f>
        <v/>
      </c>
    </row>
    <row r="51">
      <c r="A51" s="2" t="inlineStr">
        <is>
          <t>23/08/2025</t>
        </is>
      </c>
      <c r="B51" s="2" t="inlineStr">
        <is>
          <t>REF-0050</t>
        </is>
      </c>
      <c r="C51" s="2" t="inlineStr">
        <is>
          <t>Venta contado</t>
        </is>
      </c>
      <c r="D51" s="3" t="n">
        <v>45734.59</v>
      </c>
      <c r="E51" s="2" t="inlineStr">
        <is>
          <t>PENDIENTE</t>
        </is>
      </c>
      <c r="F51" s="3">
        <f>SI.ERROR(D51-BUSCARX(B51,'Extracto Bancario'!B:B,'Extracto Bancario'!C:C),D51)</f>
        <v/>
      </c>
    </row>
  </sheetData>
  <conditionalFormatting sqref="E2:E51">
    <cfRule type="iconSet" priority="1">
      <iconSet iconSet="3TrafficLights1" showValue="1">
        <cfvo type="formula" val="0"/>
        <cfvo type="formula" val="33"/>
        <cfvo type="formula" val="67"/>
      </iconSet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</cols>
  <sheetData>
    <row r="1">
      <c r="A1" s="1" t="inlineStr">
        <is>
          <t>Referencia</t>
        </is>
      </c>
      <c r="B1" s="1" t="inlineStr">
        <is>
          <t>Monto</t>
        </is>
      </c>
    </row>
    <row r="2">
      <c r="A2" s="2" t="inlineStr">
        <is>
          <t>REF-0031</t>
        </is>
      </c>
      <c r="B2" s="3" t="n">
        <v>16384.13</v>
      </c>
    </row>
    <row r="3">
      <c r="A3" s="2" t="inlineStr">
        <is>
          <t>REF-0013</t>
        </is>
      </c>
      <c r="B3" s="3" t="n">
        <v>47128.51</v>
      </c>
    </row>
    <row r="4">
      <c r="A4" s="2" t="inlineStr">
        <is>
          <t>REF-0039</t>
        </is>
      </c>
      <c r="B4" s="3" t="n">
        <v>25038.7</v>
      </c>
    </row>
    <row r="5">
      <c r="A5" s="2" t="inlineStr">
        <is>
          <t>REF-0012</t>
        </is>
      </c>
      <c r="B5" s="3" t="n">
        <v>1270.76</v>
      </c>
    </row>
    <row r="6">
      <c r="A6" s="2" t="inlineStr">
        <is>
          <t>REF-0009</t>
        </is>
      </c>
      <c r="B6" s="3" t="n">
        <v>11667.05</v>
      </c>
    </row>
    <row r="7">
      <c r="A7" s="2" t="inlineStr">
        <is>
          <t>REF-0041</t>
        </is>
      </c>
      <c r="B7" s="3" t="n">
        <v>19525.68</v>
      </c>
    </row>
    <row r="8">
      <c r="A8" s="2" t="inlineStr">
        <is>
          <t>REF-0006</t>
        </is>
      </c>
      <c r="B8" s="3" t="n">
        <v>49760.61</v>
      </c>
    </row>
    <row r="9">
      <c r="A9" s="2" t="inlineStr">
        <is>
          <t>REF-0003</t>
        </is>
      </c>
      <c r="B9" s="3" t="n">
        <v>3347.48</v>
      </c>
    </row>
    <row r="10">
      <c r="A10" s="2" t="inlineStr">
        <is>
          <t>REF-0037</t>
        </is>
      </c>
      <c r="B10" s="3" t="n">
        <v>35025.26</v>
      </c>
    </row>
    <row r="11">
      <c r="A11" s="2" t="inlineStr">
        <is>
          <t>REF-0015</t>
        </is>
      </c>
      <c r="B11" s="3" t="n">
        <v>10763.55</v>
      </c>
    </row>
    <row r="12">
      <c r="A12" s="2" t="inlineStr">
        <is>
          <t>REF-0024</t>
        </is>
      </c>
      <c r="B12" s="3" t="n">
        <v>14815.77</v>
      </c>
    </row>
    <row r="13">
      <c r="A13" s="2" t="inlineStr">
        <is>
          <t>REF-0016</t>
        </is>
      </c>
      <c r="B13" s="3" t="n">
        <v>15341.73</v>
      </c>
    </row>
    <row r="14">
      <c r="A14" s="2" t="inlineStr">
        <is>
          <t>REF-0044</t>
        </is>
      </c>
      <c r="B14" s="3" t="n">
        <v>5737.07</v>
      </c>
    </row>
    <row r="15">
      <c r="A15" s="2" t="inlineStr">
        <is>
          <t>REF-0008</t>
        </is>
      </c>
      <c r="B15" s="3" t="n">
        <v>22265.9</v>
      </c>
    </row>
    <row r="16">
      <c r="A16" s="2" t="inlineStr">
        <is>
          <t>REF-0033</t>
        </is>
      </c>
      <c r="B16" s="3" t="n">
        <v>35713.52</v>
      </c>
    </row>
    <row r="17">
      <c r="A17" s="2" t="inlineStr">
        <is>
          <t>REF-0040</t>
        </is>
      </c>
      <c r="B17" s="3" t="n">
        <v>33344.36</v>
      </c>
    </row>
    <row r="18">
      <c r="A18" s="2" t="inlineStr">
        <is>
          <t>REF-0022</t>
        </is>
      </c>
      <c r="B18" s="3" t="n">
        <v>41335.35</v>
      </c>
    </row>
    <row r="19">
      <c r="A19" s="2" t="inlineStr">
        <is>
          <t>REF-0027</t>
        </is>
      </c>
      <c r="B19" s="3" t="n">
        <v>30180.65</v>
      </c>
    </row>
    <row r="20">
      <c r="A20" s="2" t="inlineStr">
        <is>
          <t>REF-0035</t>
        </is>
      </c>
      <c r="B20" s="3" t="n">
        <v>30519.59</v>
      </c>
    </row>
    <row r="21">
      <c r="A21" s="2" t="inlineStr">
        <is>
          <t>REF-0026</t>
        </is>
      </c>
      <c r="B21" s="3" t="n">
        <v>45067.17</v>
      </c>
    </row>
    <row r="22">
      <c r="A22" s="2" t="inlineStr">
        <is>
          <t>REF-0030</t>
        </is>
      </c>
      <c r="B22" s="3" t="n">
        <v>1663.17</v>
      </c>
    </row>
    <row r="23">
      <c r="A23" s="2" t="inlineStr">
        <is>
          <t>REF-0021</t>
        </is>
      </c>
      <c r="B23" s="3" t="n">
        <v>14245.98</v>
      </c>
    </row>
    <row r="24">
      <c r="A24" s="2" t="inlineStr">
        <is>
          <t>REF-0042</t>
        </is>
      </c>
      <c r="B24" s="3" t="n">
        <v>47660.74</v>
      </c>
    </row>
    <row r="25">
      <c r="A25" s="2" t="inlineStr">
        <is>
          <t>REF-0014</t>
        </is>
      </c>
      <c r="B25" s="3" t="n">
        <v>22874.64</v>
      </c>
    </row>
    <row r="26">
      <c r="A26" s="2" t="inlineStr">
        <is>
          <t>REF-0018</t>
        </is>
      </c>
      <c r="B26" s="3" t="n">
        <v>16237.85</v>
      </c>
    </row>
    <row r="27">
      <c r="A27" s="2" t="inlineStr">
        <is>
          <t>REF-0010</t>
        </is>
      </c>
      <c r="B27" s="3" t="n">
        <v>17821.9</v>
      </c>
    </row>
    <row r="28">
      <c r="A28" s="2" t="inlineStr">
        <is>
          <t>REF-0004</t>
        </is>
      </c>
      <c r="B28" s="3" t="n">
        <v>33042.27</v>
      </c>
    </row>
    <row r="29">
      <c r="A29" s="2" t="inlineStr">
        <is>
          <t>REF-0023</t>
        </is>
      </c>
      <c r="B29" s="3" t="n">
        <v>25258.46</v>
      </c>
    </row>
    <row r="30">
      <c r="A30" s="2" t="inlineStr">
        <is>
          <t>REF-0025</t>
        </is>
      </c>
      <c r="B30" s="3" t="n">
        <v>17319.69</v>
      </c>
    </row>
    <row r="31">
      <c r="A31" s="2" t="inlineStr">
        <is>
          <t>REF-0036</t>
        </is>
      </c>
      <c r="B31" s="3" t="n">
        <v>34895.59</v>
      </c>
    </row>
    <row r="32">
      <c r="A32" s="2" t="inlineStr">
        <is>
          <t>REF-0017</t>
        </is>
      </c>
      <c r="B32" s="3" t="n">
        <v>39699.03</v>
      </c>
    </row>
    <row r="33">
      <c r="A33" s="2" t="inlineStr">
        <is>
          <t>REF-0020</t>
        </is>
      </c>
      <c r="B33" s="3" t="n">
        <v>28316.01</v>
      </c>
    </row>
    <row r="34">
      <c r="A34" s="2" t="inlineStr">
        <is>
          <t>REF-0005</t>
        </is>
      </c>
      <c r="B34" s="3" t="n">
        <v>19080.98</v>
      </c>
    </row>
    <row r="35">
      <c r="A35" s="2" t="inlineStr">
        <is>
          <t>REF-0032</t>
        </is>
      </c>
      <c r="B35" s="3" t="n">
        <v>42412.45</v>
      </c>
    </row>
    <row r="36">
      <c r="A36" s="2" t="inlineStr">
        <is>
          <t>REF-0045</t>
        </is>
      </c>
      <c r="B36" s="3" t="n">
        <v>26901.43</v>
      </c>
    </row>
    <row r="37">
      <c r="A37" s="2" t="inlineStr">
        <is>
          <t>REF-0038</t>
        </is>
      </c>
      <c r="B37" s="3" t="n">
        <v>7331.48</v>
      </c>
    </row>
    <row r="38">
      <c r="A38" s="2" t="inlineStr">
        <is>
          <t>REF-0002</t>
        </is>
      </c>
      <c r="B38" s="3" t="n">
        <v>35622.08</v>
      </c>
    </row>
    <row r="39">
      <c r="A39" s="2" t="inlineStr">
        <is>
          <t>REF-0034</t>
        </is>
      </c>
      <c r="B39" s="3" t="n">
        <v>12731.11</v>
      </c>
    </row>
    <row r="40">
      <c r="A40" s="2" t="inlineStr">
        <is>
          <t>REF-0028</t>
        </is>
      </c>
      <c r="B40" s="3" t="n">
        <v>6402.27</v>
      </c>
    </row>
    <row r="41">
      <c r="A41" s="2" t="inlineStr">
        <is>
          <t>REF-0019</t>
        </is>
      </c>
      <c r="B41" s="3" t="n">
        <v>31291.09</v>
      </c>
    </row>
    <row r="42">
      <c r="A42" s="2" t="inlineStr">
        <is>
          <t>REF-0007</t>
        </is>
      </c>
      <c r="B42" s="3" t="n">
        <v>36283.69</v>
      </c>
    </row>
    <row r="43">
      <c r="A43" s="2" t="inlineStr">
        <is>
          <t>REF-0001</t>
        </is>
      </c>
      <c r="B43" s="3" t="n">
        <v>41762.74</v>
      </c>
    </row>
    <row r="44">
      <c r="A44" s="2" t="inlineStr">
        <is>
          <t>REF-0011</t>
        </is>
      </c>
      <c r="B44" s="3" t="n">
        <v>41581.57</v>
      </c>
    </row>
    <row r="45">
      <c r="A45" s="2" t="inlineStr">
        <is>
          <t>REF-0029</t>
        </is>
      </c>
      <c r="B45" s="3" t="n">
        <v>4390.09</v>
      </c>
    </row>
    <row r="46">
      <c r="A46" s="2" t="inlineStr">
        <is>
          <t>REF-0043</t>
        </is>
      </c>
      <c r="B46" s="3" t="n">
        <v>37114.05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2026-06-29T14:50:41Z</dcterms:created>
  <dcterms:modified xmlns:dcterms="http://purl.org/dc/terms/" xmlns:xsi="http://www.w3.org/2001/XMLSchema-instance" xsi:type="dcterms:W3CDTF">2026-06-29T14:50:41Z</dcterms:modified>
</cp:coreProperties>
</file>