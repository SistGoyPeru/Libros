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a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7" customWidth="1" min="3" max="3"/>
    <col width="14" customWidth="1" min="4" max="4"/>
    <col width="15" customWidth="1" min="5" max="5"/>
    <col width="16" customWidth="1" min="6" max="6"/>
    <col width="16" customWidth="1" min="7" max="7"/>
    <col width="14" customWidth="1" min="8" max="8"/>
    <col width="15" customWidth="1" min="9" max="9"/>
    <col width="11" customWidth="1" min="10" max="10"/>
  </cols>
  <sheetData>
    <row r="1">
      <c r="A1" s="1" t="inlineStr">
        <is>
          <t>Código</t>
        </is>
      </c>
      <c r="B1" s="1" t="inlineStr">
        <is>
          <t>Producto</t>
        </is>
      </c>
      <c r="C1" s="1" t="inlineStr">
        <is>
          <t>Línea</t>
        </is>
      </c>
      <c r="D1" s="1" t="inlineStr">
        <is>
          <t>Costo Unit.</t>
        </is>
      </c>
      <c r="E1" s="1" t="inlineStr">
        <is>
          <t>Precio Venta</t>
        </is>
      </c>
      <c r="F1" s="1" t="inlineStr">
        <is>
          <t>Cant. Vendida</t>
        </is>
      </c>
      <c r="G1" s="1" t="inlineStr">
        <is>
          <t>Ingreso Total</t>
        </is>
      </c>
      <c r="H1" s="1" t="inlineStr">
        <is>
          <t>Costo Total</t>
        </is>
      </c>
      <c r="I1" s="1" t="inlineStr">
        <is>
          <t>Margen Bruto</t>
        </is>
      </c>
      <c r="J1" s="1" t="inlineStr">
        <is>
          <t>Margen %</t>
        </is>
      </c>
    </row>
    <row r="2">
      <c r="A2" s="2" t="inlineStr">
        <is>
          <t>LP-001</t>
        </is>
      </c>
      <c r="B2" s="2" t="inlineStr">
        <is>
          <t>Laptop ProBook X1</t>
        </is>
      </c>
      <c r="C2" s="2" t="inlineStr">
        <is>
          <t>Laptops</t>
        </is>
      </c>
      <c r="D2" s="3" t="n">
        <v>2100</v>
      </c>
      <c r="E2" s="3" t="n">
        <v>2499</v>
      </c>
      <c r="F2" s="2" t="n">
        <v>120</v>
      </c>
      <c r="G2" s="3">
        <f>E2*F2</f>
        <v/>
      </c>
      <c r="H2" s="3">
        <f>D2*F2</f>
        <v/>
      </c>
      <c r="I2" s="3">
        <f>G2-H2</f>
        <v/>
      </c>
      <c r="J2" s="4">
        <f>I2/G2</f>
        <v/>
      </c>
    </row>
    <row r="3">
      <c r="A3" s="2" t="inlineStr">
        <is>
          <t>LP-002</t>
        </is>
      </c>
      <c r="B3" s="2" t="inlineStr">
        <is>
          <t>Laptop Ultra Slim</t>
        </is>
      </c>
      <c r="C3" s="2" t="inlineStr">
        <is>
          <t>Laptops</t>
        </is>
      </c>
      <c r="D3" s="3" t="n">
        <v>2800</v>
      </c>
      <c r="E3" s="3" t="n">
        <v>3299</v>
      </c>
      <c r="F3" s="2" t="n">
        <v>45</v>
      </c>
      <c r="G3" s="3">
        <f>E3*F3</f>
        <v/>
      </c>
      <c r="H3" s="3">
        <f>D3*F3</f>
        <v/>
      </c>
      <c r="I3" s="3">
        <f>G3-H3</f>
        <v/>
      </c>
      <c r="J3" s="4">
        <f>I3/G3</f>
        <v/>
      </c>
    </row>
    <row r="4">
      <c r="A4" s="2" t="inlineStr">
        <is>
          <t>LP-003</t>
        </is>
      </c>
      <c r="B4" s="2" t="inlineStr">
        <is>
          <t>Laptop Gamer Fury</t>
        </is>
      </c>
      <c r="C4" s="2" t="inlineStr">
        <is>
          <t>Laptops</t>
        </is>
      </c>
      <c r="D4" s="3" t="n">
        <v>3500</v>
      </c>
      <c r="E4" s="3" t="n">
        <v>4299</v>
      </c>
      <c r="F4" s="2" t="n">
        <v>30</v>
      </c>
      <c r="G4" s="3">
        <f>E4*F4</f>
        <v/>
      </c>
      <c r="H4" s="3">
        <f>D4*F4</f>
        <v/>
      </c>
      <c r="I4" s="3">
        <f>G4-H4</f>
        <v/>
      </c>
      <c r="J4" s="4">
        <f>I4/G4</f>
        <v/>
      </c>
    </row>
    <row r="5">
      <c r="A5" s="2" t="inlineStr">
        <is>
          <t>MN-001</t>
        </is>
      </c>
      <c r="B5" s="2" t="inlineStr">
        <is>
          <t>Monitor UltraView 27</t>
        </is>
      </c>
      <c r="C5" s="2" t="inlineStr">
        <is>
          <t>Monitores</t>
        </is>
      </c>
      <c r="D5" s="3" t="n">
        <v>650</v>
      </c>
      <c r="E5" s="3" t="n">
        <v>899</v>
      </c>
      <c r="F5" s="2" t="n">
        <v>200</v>
      </c>
      <c r="G5" s="3">
        <f>E5*F5</f>
        <v/>
      </c>
      <c r="H5" s="3">
        <f>D5*F5</f>
        <v/>
      </c>
      <c r="I5" s="3">
        <f>G5-H5</f>
        <v/>
      </c>
      <c r="J5" s="4">
        <f>I5/G5</f>
        <v/>
      </c>
    </row>
    <row r="6">
      <c r="A6" s="2" t="inlineStr">
        <is>
          <t>MN-002</t>
        </is>
      </c>
      <c r="B6" s="2" t="inlineStr">
        <is>
          <t>Monitor Curvo 32</t>
        </is>
      </c>
      <c r="C6" s="2" t="inlineStr">
        <is>
          <t>Monitores</t>
        </is>
      </c>
      <c r="D6" s="3" t="n">
        <v>850</v>
      </c>
      <c r="E6" s="3" t="n">
        <v>1199</v>
      </c>
      <c r="F6" s="2" t="n">
        <v>80</v>
      </c>
      <c r="G6" s="3">
        <f>E6*F6</f>
        <v/>
      </c>
      <c r="H6" s="3">
        <f>D6*F6</f>
        <v/>
      </c>
      <c r="I6" s="3">
        <f>G6-H6</f>
        <v/>
      </c>
      <c r="J6" s="4">
        <f>I6/G6</f>
        <v/>
      </c>
    </row>
    <row r="7">
      <c r="A7" s="2" t="inlineStr">
        <is>
          <t>PE-001</t>
        </is>
      </c>
      <c r="B7" s="2" t="inlineStr">
        <is>
          <t>Teclado Mecánico RGB</t>
        </is>
      </c>
      <c r="C7" s="2" t="inlineStr">
        <is>
          <t>Periféricos</t>
        </is>
      </c>
      <c r="D7" s="3" t="n">
        <v>75</v>
      </c>
      <c r="E7" s="3" t="n">
        <v>129</v>
      </c>
      <c r="F7" s="2" t="n">
        <v>350</v>
      </c>
      <c r="G7" s="3">
        <f>E7*F7</f>
        <v/>
      </c>
      <c r="H7" s="3">
        <f>D7*F7</f>
        <v/>
      </c>
      <c r="I7" s="3">
        <f>G7-H7</f>
        <v/>
      </c>
      <c r="J7" s="4">
        <f>I7/G7</f>
        <v/>
      </c>
    </row>
    <row r="8">
      <c r="A8" s="2" t="inlineStr">
        <is>
          <t>PE-002</t>
        </is>
      </c>
      <c r="B8" s="2" t="inlineStr">
        <is>
          <t>Mouse Inalámbrico</t>
        </is>
      </c>
      <c r="C8" s="2" t="inlineStr">
        <is>
          <t>Periféricos</t>
        </is>
      </c>
      <c r="D8" s="3" t="n">
        <v>25</v>
      </c>
      <c r="E8" s="3" t="n">
        <v>45</v>
      </c>
      <c r="F8" s="2" t="n">
        <v>500</v>
      </c>
      <c r="G8" s="3">
        <f>E8*F8</f>
        <v/>
      </c>
      <c r="H8" s="3">
        <f>D8*F8</f>
        <v/>
      </c>
      <c r="I8" s="3">
        <f>G8-H8</f>
        <v/>
      </c>
      <c r="J8" s="4">
        <f>I8/G8</f>
        <v/>
      </c>
    </row>
    <row r="9">
      <c r="A9" s="2" t="inlineStr">
        <is>
          <t>PE-003</t>
        </is>
      </c>
      <c r="B9" s="2" t="inlineStr">
        <is>
          <t>Webcam HD-200</t>
        </is>
      </c>
      <c r="C9" s="2" t="inlineStr">
        <is>
          <t>Periféricos</t>
        </is>
      </c>
      <c r="D9" s="3" t="n">
        <v>65</v>
      </c>
      <c r="E9" s="3" t="n">
        <v>89</v>
      </c>
      <c r="F9" s="2" t="n">
        <v>23</v>
      </c>
      <c r="G9" s="3">
        <f>E9*F9</f>
        <v/>
      </c>
      <c r="H9" s="3">
        <f>D9*F9</f>
        <v/>
      </c>
      <c r="I9" s="3">
        <f>G9-H9</f>
        <v/>
      </c>
      <c r="J9" s="4">
        <f>I9/G9</f>
        <v/>
      </c>
    </row>
    <row r="10">
      <c r="A10" s="2" t="inlineStr">
        <is>
          <t>AC-001</t>
        </is>
      </c>
      <c r="B10" s="2" t="inlineStr">
        <is>
          <t>Hub USB-C 7 puertos</t>
        </is>
      </c>
      <c r="C10" s="2" t="inlineStr">
        <is>
          <t>Accesorios</t>
        </is>
      </c>
      <c r="D10" s="3" t="n">
        <v>42</v>
      </c>
      <c r="E10" s="3" t="n">
        <v>49</v>
      </c>
      <c r="F10" s="2" t="n">
        <v>45</v>
      </c>
      <c r="G10" s="3">
        <f>E10*F10</f>
        <v/>
      </c>
      <c r="H10" s="3">
        <f>D10*F10</f>
        <v/>
      </c>
      <c r="I10" s="3">
        <f>G10-H10</f>
        <v/>
      </c>
      <c r="J10" s="4">
        <f>I10/G10</f>
        <v/>
      </c>
    </row>
    <row r="11">
      <c r="A11" s="2" t="inlineStr">
        <is>
          <t>AC-002</t>
        </is>
      </c>
      <c r="B11" s="2" t="inlineStr">
        <is>
          <t>Cargador Solar 20W</t>
        </is>
      </c>
      <c r="C11" s="2" t="inlineStr">
        <is>
          <t>Accesorios</t>
        </is>
      </c>
      <c r="D11" s="3" t="n">
        <v>28</v>
      </c>
      <c r="E11" s="3" t="n">
        <v>35</v>
      </c>
      <c r="F11" s="2" t="n">
        <v>67</v>
      </c>
      <c r="G11" s="3">
        <f>E11*F11</f>
        <v/>
      </c>
      <c r="H11" s="3">
        <f>D11*F11</f>
        <v/>
      </c>
      <c r="I11" s="3">
        <f>G11-H11</f>
        <v/>
      </c>
      <c r="J11" s="4">
        <f>I11/G11</f>
        <v/>
      </c>
    </row>
    <row r="12">
      <c r="A12" s="2" t="inlineStr">
        <is>
          <t>AC-003</t>
        </is>
      </c>
      <c r="B12" s="2" t="inlineStr">
        <is>
          <t>Audífonos Bluetooth</t>
        </is>
      </c>
      <c r="C12" s="2" t="inlineStr">
        <is>
          <t>Accesorios</t>
        </is>
      </c>
      <c r="D12" s="3" t="n">
        <v>45</v>
      </c>
      <c r="E12" s="3" t="n">
        <v>79</v>
      </c>
      <c r="F12" s="2" t="n">
        <v>180</v>
      </c>
      <c r="G12" s="3">
        <f>E12*F12</f>
        <v/>
      </c>
      <c r="H12" s="3">
        <f>D12*F12</f>
        <v/>
      </c>
      <c r="I12" s="3">
        <f>G12-H12</f>
        <v/>
      </c>
      <c r="J12" s="4">
        <f>I12/G12</f>
        <v/>
      </c>
    </row>
    <row r="13">
      <c r="A13" s="2" t="inlineStr">
        <is>
          <t>AL-001</t>
        </is>
      </c>
      <c r="B13" s="2" t="inlineStr">
        <is>
          <t>Disco SSD 1TB</t>
        </is>
      </c>
      <c r="C13" s="2" t="inlineStr">
        <is>
          <t>Almacenamiento</t>
        </is>
      </c>
      <c r="D13" s="3" t="n">
        <v>110</v>
      </c>
      <c r="E13" s="3" t="n">
        <v>159</v>
      </c>
      <c r="F13" s="2" t="n">
        <v>120</v>
      </c>
      <c r="G13" s="3">
        <f>E13*F13</f>
        <v/>
      </c>
      <c r="H13" s="3">
        <f>D13*F13</f>
        <v/>
      </c>
      <c r="I13" s="3">
        <f>G13-H13</f>
        <v/>
      </c>
      <c r="J13" s="4">
        <f>I13/G13</f>
        <v/>
      </c>
    </row>
    <row r="14">
      <c r="A14" s="2" t="inlineStr">
        <is>
          <t>AL-002</t>
        </is>
      </c>
      <c r="B14" s="2" t="inlineStr">
        <is>
          <t>Disco SSD 2TB</t>
        </is>
      </c>
      <c r="C14" s="2" t="inlineStr">
        <is>
          <t>Almacenamiento</t>
        </is>
      </c>
      <c r="D14" s="3" t="n">
        <v>190</v>
      </c>
      <c r="E14" s="3" t="n">
        <v>259</v>
      </c>
      <c r="F14" s="2" t="n">
        <v>60</v>
      </c>
      <c r="G14" s="3">
        <f>E14*F14</f>
        <v/>
      </c>
      <c r="H14" s="3">
        <f>D14*F14</f>
        <v/>
      </c>
      <c r="I14" s="3">
        <f>G14-H14</f>
        <v/>
      </c>
      <c r="J14" s="4">
        <f>I14/G14</f>
        <v/>
      </c>
    </row>
    <row r="15">
      <c r="A15" s="5" t="inlineStr">
        <is>
          <t>Nota: Pídele a Copilot que analice rentabilidad por línea, productos con margen &lt;20%, y ranking.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