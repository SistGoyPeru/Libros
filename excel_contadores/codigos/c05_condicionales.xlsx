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7E5C"/>
      <sz val="12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6" customWidth="1" min="3" max="3"/>
    <col width="15" customWidth="1" min="4" max="4"/>
    <col width="11" customWidth="1" min="5" max="5"/>
    <col width="45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Categoria</t>
        </is>
      </c>
      <c r="D1" s="1" t="inlineStr">
        <is>
          <t>Centro Costo</t>
        </is>
      </c>
      <c r="E1" s="1" t="inlineStr">
        <is>
          <t>Monto</t>
        </is>
      </c>
      <c r="F1" s="1" t="inlineStr">
        <is>
          <t>Clasificacion</t>
        </is>
      </c>
      <c r="G1" s="1" t="inlineStr">
        <is>
          <t>Presupuesto</t>
        </is>
      </c>
    </row>
    <row r="2">
      <c r="A2" s="2" t="inlineStr">
        <is>
          <t>09/01/2025</t>
        </is>
      </c>
      <c r="B2" s="2" t="inlineStr">
        <is>
          <t>Pinturas Unidas</t>
        </is>
      </c>
      <c r="C2" s="2" t="inlineStr">
        <is>
          <t>Alquiler</t>
        </is>
      </c>
      <c r="D2" s="2" t="inlineStr">
        <is>
          <t>CC-VTA</t>
        </is>
      </c>
      <c r="E2" s="3" t="n">
        <v>9343</v>
      </c>
      <c r="F2" s="2">
        <f>IFS(C2="Materia Prima","Costo Venta",C2="Transporte","Costo Venta",C2="Comisiones","Costo Venta",C2="Planilla","Gasto Administrativo",C2="Marketing","Gasto Administrativo",C2="Impuestos","Gasto Administrativo",TRUE,"Gasto Operativo")</f>
        <v/>
      </c>
      <c r="G2" s="3" t="n">
        <v>6000</v>
      </c>
    </row>
    <row r="3">
      <c r="A3" s="2" t="inlineStr">
        <is>
          <t>04/03/2025</t>
        </is>
      </c>
      <c r="B3" s="2" t="inlineStr">
        <is>
          <t>Maderas Perez</t>
        </is>
      </c>
      <c r="C3" s="2" t="inlineStr">
        <is>
          <t>Servicios</t>
        </is>
      </c>
      <c r="D3" s="2" t="inlineStr">
        <is>
          <t>CC-ADM</t>
        </is>
      </c>
      <c r="E3" s="3" t="n">
        <v>4859.93</v>
      </c>
      <c r="F3" s="2">
        <f>IFS(C3="Materia Prima","Costo Venta",C3="Transporte","Costo Venta",C3="Comisiones","Costo Venta",C3="Planilla","Gasto Administrativo",C3="Marketing","Gasto Administrativo",C3="Impuestos","Gasto Administrativo",TRUE,"Gasto Operativo")</f>
        <v/>
      </c>
      <c r="G3" s="3" t="n">
        <v>50000</v>
      </c>
    </row>
    <row r="4">
      <c r="A4" s="2" t="inlineStr">
        <is>
          <t>11/05/2025</t>
        </is>
      </c>
      <c r="B4" s="2" t="inlineStr">
        <is>
          <t>Agencia Creativa</t>
        </is>
      </c>
      <c r="C4" s="2" t="inlineStr">
        <is>
          <t>Transporte</t>
        </is>
      </c>
      <c r="D4" s="2" t="inlineStr">
        <is>
          <t>CC-VTA</t>
        </is>
      </c>
      <c r="E4" s="3" t="n">
        <v>10299</v>
      </c>
      <c r="F4" s="2">
        <f>IFS(C4="Materia Prima","Costo Venta",C4="Transporte","Costo Venta",C4="Comisiones","Costo Venta",C4="Planilla","Gasto Administrativo",C4="Marketing","Gasto Administrativo",C4="Impuestos","Gasto Administrativo",TRUE,"Gasto Operativo")</f>
        <v/>
      </c>
      <c r="G4" s="3" t="n">
        <v>15000</v>
      </c>
    </row>
    <row r="5">
      <c r="A5" s="2" t="inlineStr">
        <is>
          <t>05/02/2025</t>
        </is>
      </c>
      <c r="B5" s="2" t="inlineStr">
        <is>
          <t>Agencia Creativa</t>
        </is>
      </c>
      <c r="C5" s="2" t="inlineStr">
        <is>
          <t>Transporte</t>
        </is>
      </c>
      <c r="D5" s="2" t="inlineStr">
        <is>
          <t>CC-VTA</t>
        </is>
      </c>
      <c r="E5" s="3" t="n">
        <v>6951.06</v>
      </c>
      <c r="F5" s="2">
        <f>IFS(C5="Materia Prima","Costo Venta",C5="Transporte","Costo Venta",C5="Comisiones","Costo Venta",C5="Planilla","Gasto Administrativo",C5="Marketing","Gasto Administrativo",C5="Impuestos","Gasto Administrativo",TRUE,"Gasto Operativo")</f>
        <v/>
      </c>
      <c r="G5" s="3" t="n">
        <v>15000</v>
      </c>
    </row>
    <row r="6">
      <c r="A6" s="2" t="inlineStr">
        <is>
          <t>08/06/2025</t>
        </is>
      </c>
      <c r="B6" s="2" t="inlineStr">
        <is>
          <t>Luz del Sur</t>
        </is>
      </c>
      <c r="C6" s="2" t="inlineStr">
        <is>
          <t>Planilla</t>
        </is>
      </c>
      <c r="D6" s="2" t="inlineStr">
        <is>
          <t>CC-PROD</t>
        </is>
      </c>
      <c r="E6" s="3" t="n">
        <v>519.21</v>
      </c>
      <c r="F6" s="2">
        <f>IFS(C6="Materia Prima","Costo Venta",C6="Transporte","Costo Venta",C6="Comisiones","Costo Venta",C6="Planilla","Gasto Administrativo",C6="Marketing","Gasto Administrativo",C6="Impuestos","Gasto Administrativo",TRUE,"Gasto Operativo")</f>
        <v/>
      </c>
      <c r="G6" s="3" t="n">
        <v>85000</v>
      </c>
    </row>
    <row r="7">
      <c r="A7" s="2" t="inlineStr">
        <is>
          <t>25/04/2025</t>
        </is>
      </c>
      <c r="B7" s="2" t="inlineStr">
        <is>
          <t>Pinturas Unidas</t>
        </is>
      </c>
      <c r="C7" s="2" t="inlineStr">
        <is>
          <t>Alquiler</t>
        </is>
      </c>
      <c r="D7" s="2" t="inlineStr">
        <is>
          <t>CC-VTA</t>
        </is>
      </c>
      <c r="E7" s="3" t="n">
        <v>10604.25</v>
      </c>
      <c r="F7" s="2">
        <f>IFS(C7="Materia Prima","Costo Venta",C7="Transporte","Costo Venta",C7="Comisiones","Costo Venta",C7="Planilla","Gasto Administrativo",C7="Marketing","Gasto Administrativo",C7="Impuestos","Gasto Administrativo",TRUE,"Gasto Operativo")</f>
        <v/>
      </c>
      <c r="G7" s="3" t="n">
        <v>6000</v>
      </c>
    </row>
    <row r="8">
      <c r="A8" s="2" t="inlineStr">
        <is>
          <t>03/04/2025</t>
        </is>
      </c>
      <c r="B8" s="2" t="inlineStr">
        <is>
          <t>Maderas Perez</t>
        </is>
      </c>
      <c r="C8" s="2" t="inlineStr">
        <is>
          <t>Servicios</t>
        </is>
      </c>
      <c r="D8" s="2" t="inlineStr">
        <is>
          <t>CC-ADM</t>
        </is>
      </c>
      <c r="E8" s="3" t="n">
        <v>4127.78</v>
      </c>
      <c r="F8" s="2">
        <f>IFS(C8="Materia Prima","Costo Venta",C8="Transporte","Costo Venta",C8="Comisiones","Costo Venta",C8="Planilla","Gasto Administrativo",C8="Marketing","Gasto Administrativo",C8="Impuestos","Gasto Administrativo",TRUE,"Gasto Operativo")</f>
        <v/>
      </c>
      <c r="G8" s="3" t="n">
        <v>50000</v>
      </c>
    </row>
    <row r="9">
      <c r="A9" s="2" t="inlineStr">
        <is>
          <t>04/04/2025</t>
        </is>
      </c>
      <c r="B9" s="2" t="inlineStr">
        <is>
          <t>Maderas Perez</t>
        </is>
      </c>
      <c r="C9" s="2" t="inlineStr">
        <is>
          <t>Servicios</t>
        </is>
      </c>
      <c r="D9" s="2" t="inlineStr">
        <is>
          <t>CC-ADM</t>
        </is>
      </c>
      <c r="E9" s="3" t="n">
        <v>1566.79</v>
      </c>
      <c r="F9" s="2">
        <f>IFS(C9="Materia Prima","Costo Venta",C9="Transporte","Costo Venta",C9="Comisiones","Costo Venta",C9="Planilla","Gasto Administrativo",C9="Marketing","Gasto Administrativo",C9="Impuestos","Gasto Administrativo",TRUE,"Gasto Operativo")</f>
        <v/>
      </c>
      <c r="G9" s="3" t="n">
        <v>50000</v>
      </c>
    </row>
    <row r="10">
      <c r="A10" s="2" t="inlineStr">
        <is>
          <t>05/02/2025</t>
        </is>
      </c>
      <c r="B10" s="2" t="inlineStr">
        <is>
          <t>Maderas Perez</t>
        </is>
      </c>
      <c r="C10" s="2" t="inlineStr">
        <is>
          <t>Servicios</t>
        </is>
      </c>
      <c r="D10" s="2" t="inlineStr">
        <is>
          <t>CC-ADM</t>
        </is>
      </c>
      <c r="E10" s="3" t="n">
        <v>3855.72</v>
      </c>
      <c r="F10" s="2">
        <f>IFS(C10="Materia Prima","Costo Venta",C10="Transporte","Costo Venta",C10="Comisiones","Costo Venta",C10="Planilla","Gasto Administrativo",C10="Marketing","Gasto Administrativo",C10="Impuestos","Gasto Administrativo",TRUE,"Gasto Operativo")</f>
        <v/>
      </c>
      <c r="G10" s="3" t="n">
        <v>50000</v>
      </c>
    </row>
    <row r="11">
      <c r="A11" s="2" t="inlineStr">
        <is>
          <t>19/04/2025</t>
        </is>
      </c>
      <c r="B11" s="2" t="inlineStr">
        <is>
          <t>Pacifico Seguros</t>
        </is>
      </c>
      <c r="C11" s="2" t="inlineStr">
        <is>
          <t>Mantenimiento</t>
        </is>
      </c>
      <c r="D11" s="2" t="inlineStr">
        <is>
          <t>CC-PROD</t>
        </is>
      </c>
      <c r="E11" s="3" t="n">
        <v>3551.2</v>
      </c>
      <c r="F11" s="2">
        <f>IFS(C11="Materia Prima","Costo Venta",C11="Transporte","Costo Venta",C11="Comisiones","Costo Venta",C11="Planilla","Gasto Administrativo",C11="Marketing","Gasto Administrativo",C11="Impuestos","Gasto Administrativo",TRUE,"Gasto Operativo")</f>
        <v/>
      </c>
      <c r="G11" s="3" t="n">
        <v>4500</v>
      </c>
    </row>
    <row r="12">
      <c r="A12" s="2" t="inlineStr">
        <is>
          <t>25/01/2025</t>
        </is>
      </c>
      <c r="B12" s="2" t="inlineStr">
        <is>
          <t>Planilla</t>
        </is>
      </c>
      <c r="C12" s="2" t="inlineStr">
        <is>
          <t>Materia Prima</t>
        </is>
      </c>
      <c r="D12" s="2" t="inlineStr">
        <is>
          <t>CC-PROD</t>
        </is>
      </c>
      <c r="E12" s="3" t="n">
        <v>4449.81</v>
      </c>
      <c r="F12" s="2">
        <f>IFS(C12="Materia Prima","Costo Venta",C12="Transporte","Costo Venta",C12="Comisiones","Costo Venta",C12="Planilla","Gasto Administrativo",C12="Marketing","Gasto Administrativo",C12="Impuestos","Gasto Administrativo",TRUE,"Gasto Operativo")</f>
        <v/>
      </c>
      <c r="G12" s="3" t="n">
        <v>60000</v>
      </c>
    </row>
    <row r="13">
      <c r="A13" s="2" t="inlineStr">
        <is>
          <t>07/04/2025</t>
        </is>
      </c>
      <c r="B13" s="2" t="inlineStr">
        <is>
          <t>Interbank</t>
        </is>
      </c>
      <c r="C13" s="2" t="inlineStr">
        <is>
          <t>Comisiones</t>
        </is>
      </c>
      <c r="D13" s="2" t="inlineStr">
        <is>
          <t>CC-VTA</t>
        </is>
      </c>
      <c r="E13" s="3" t="n">
        <v>7845.7</v>
      </c>
      <c r="F13" s="2">
        <f>IFS(C13="Materia Prima","Costo Venta",C13="Transporte","Costo Venta",C13="Comisiones","Costo Venta",C13="Planilla","Gasto Administrativo",C13="Marketing","Gasto Administrativo",C13="Impuestos","Gasto Administrativo",TRUE,"Gasto Operativo")</f>
        <v/>
      </c>
      <c r="G13" s="3" t="n">
        <v>8000</v>
      </c>
    </row>
    <row r="14">
      <c r="A14" s="2" t="inlineStr">
        <is>
          <t>26/05/2025</t>
        </is>
      </c>
      <c r="B14" s="2" t="inlineStr">
        <is>
          <t>Agencia Creativa</t>
        </is>
      </c>
      <c r="C14" s="2" t="inlineStr">
        <is>
          <t>Transporte</t>
        </is>
      </c>
      <c r="D14" s="2" t="inlineStr">
        <is>
          <t>CC-VTA</t>
        </is>
      </c>
      <c r="E14" s="3" t="n">
        <v>644.3</v>
      </c>
      <c r="F14" s="2">
        <f>IFS(C14="Materia Prima","Costo Venta",C14="Transporte","Costo Venta",C14="Comisiones","Costo Venta",C14="Planilla","Gasto Administrativo",C14="Marketing","Gasto Administrativo",C14="Impuestos","Gasto Administrativo",TRUE,"Gasto Operativo")</f>
        <v/>
      </c>
      <c r="G14" s="3" t="n">
        <v>15000</v>
      </c>
    </row>
    <row r="15">
      <c r="A15" s="2" t="inlineStr">
        <is>
          <t>17/06/2025</t>
        </is>
      </c>
      <c r="B15" s="2" t="inlineStr">
        <is>
          <t>Logistica Total</t>
        </is>
      </c>
      <c r="C15" s="2" t="inlineStr">
        <is>
          <t>Seguros</t>
        </is>
      </c>
      <c r="D15" s="2" t="inlineStr">
        <is>
          <t>CC-ADM</t>
        </is>
      </c>
      <c r="E15" s="3" t="n">
        <v>8375.629999999999</v>
      </c>
      <c r="F15" s="2">
        <f>IFS(C15="Materia Prima","Costo Venta",C15="Transporte","Costo Venta",C15="Comisiones","Costo Venta",C15="Planilla","Gasto Administrativo",C15="Marketing","Gasto Administrativo",C15="Impuestos","Gasto Administrativo",TRUE,"Gasto Operativo")</f>
        <v/>
      </c>
      <c r="G15" s="3" t="n">
        <v>3000</v>
      </c>
    </row>
    <row r="16">
      <c r="A16" s="2" t="inlineStr">
        <is>
          <t>26/06/2025</t>
        </is>
      </c>
      <c r="B16" s="2" t="inlineStr">
        <is>
          <t>Interbank</t>
        </is>
      </c>
      <c r="C16" s="2" t="inlineStr">
        <is>
          <t>Comisiones</t>
        </is>
      </c>
      <c r="D16" s="2" t="inlineStr">
        <is>
          <t>CC-VTA</t>
        </is>
      </c>
      <c r="E16" s="3" t="n">
        <v>10736.13</v>
      </c>
      <c r="F16" s="2">
        <f>IFS(C16="Materia Prima","Costo Venta",C16="Transporte","Costo Venta",C16="Comisiones","Costo Venta",C16="Planilla","Gasto Administrativo",C16="Marketing","Gasto Administrativo",C16="Impuestos","Gasto Administrativo",TRUE,"Gasto Operativo")</f>
        <v/>
      </c>
      <c r="G16" s="3" t="n">
        <v>8000</v>
      </c>
    </row>
    <row r="17">
      <c r="A17" s="2" t="inlineStr">
        <is>
          <t>17/04/2025</t>
        </is>
      </c>
      <c r="B17" s="2" t="inlineStr">
        <is>
          <t>Logistica Total</t>
        </is>
      </c>
      <c r="C17" s="2" t="inlineStr">
        <is>
          <t>Seguros</t>
        </is>
      </c>
      <c r="D17" s="2" t="inlineStr">
        <is>
          <t>CC-ADM</t>
        </is>
      </c>
      <c r="E17" s="3" t="n">
        <v>4807</v>
      </c>
      <c r="F17" s="2">
        <f>IFS(C17="Materia Prima","Costo Venta",C17="Transporte","Costo Venta",C17="Comisiones","Costo Venta",C17="Planilla","Gasto Administrativo",C17="Marketing","Gasto Administrativo",C17="Impuestos","Gasto Administrativo",TRUE,"Gasto Operativo")</f>
        <v/>
      </c>
      <c r="G17" s="3" t="n">
        <v>3000</v>
      </c>
    </row>
    <row r="18">
      <c r="A18" s="2" t="inlineStr">
        <is>
          <t>28/01/2025</t>
        </is>
      </c>
      <c r="B18" s="2" t="inlineStr">
        <is>
          <t>Luz del Sur</t>
        </is>
      </c>
      <c r="C18" s="2" t="inlineStr">
        <is>
          <t>Planilla</t>
        </is>
      </c>
      <c r="D18" s="2" t="inlineStr">
        <is>
          <t>CC-PROD</t>
        </is>
      </c>
      <c r="E18" s="3" t="n">
        <v>8847.02</v>
      </c>
      <c r="F18" s="2">
        <f>IFS(C18="Materia Prima","Costo Venta",C18="Transporte","Costo Venta",C18="Comisiones","Costo Venta",C18="Planilla","Gasto Administrativo",C18="Marketing","Gasto Administrativo",C18="Impuestos","Gasto Administrativo",TRUE,"Gasto Operativo")</f>
        <v/>
      </c>
      <c r="G18" s="3" t="n">
        <v>85000</v>
      </c>
    </row>
    <row r="19">
      <c r="A19" s="2" t="inlineStr">
        <is>
          <t>16/01/2025</t>
        </is>
      </c>
      <c r="B19" s="2" t="inlineStr">
        <is>
          <t>Planilla</t>
        </is>
      </c>
      <c r="C19" s="2" t="inlineStr">
        <is>
          <t>Materia Prima</t>
        </is>
      </c>
      <c r="D19" s="2" t="inlineStr">
        <is>
          <t>CC-PROD</t>
        </is>
      </c>
      <c r="E19" s="3" t="n">
        <v>2456.46</v>
      </c>
      <c r="F19" s="2">
        <f>IFS(C19="Materia Prima","Costo Venta",C19="Transporte","Costo Venta",C19="Comisiones","Costo Venta",C19="Planilla","Gasto Administrativo",C19="Marketing","Gasto Administrativo",C19="Impuestos","Gasto Administrativo",TRUE,"Gasto Operativo")</f>
        <v/>
      </c>
      <c r="G19" s="3" t="n">
        <v>60000</v>
      </c>
    </row>
    <row r="20">
      <c r="A20" s="2" t="inlineStr">
        <is>
          <t>18/03/2025</t>
        </is>
      </c>
      <c r="B20" s="2" t="inlineStr">
        <is>
          <t>Logistica Total</t>
        </is>
      </c>
      <c r="C20" s="2" t="inlineStr">
        <is>
          <t>Seguros</t>
        </is>
      </c>
      <c r="D20" s="2" t="inlineStr">
        <is>
          <t>CC-ADM</t>
        </is>
      </c>
      <c r="E20" s="3" t="n">
        <v>10665.04</v>
      </c>
      <c r="F20" s="2">
        <f>IFS(C20="Materia Prima","Costo Venta",C20="Transporte","Costo Venta",C20="Comisiones","Costo Venta",C20="Planilla","Gasto Administrativo",C20="Marketing","Gasto Administrativo",C20="Impuestos","Gasto Administrativo",TRUE,"Gasto Operativo")</f>
        <v/>
      </c>
      <c r="G20" s="3" t="n">
        <v>3000</v>
      </c>
    </row>
    <row r="21">
      <c r="A21" s="2" t="inlineStr">
        <is>
          <t>15/06/2025</t>
        </is>
      </c>
      <c r="B21" s="2" t="inlineStr">
        <is>
          <t>Logistica Total</t>
        </is>
      </c>
      <c r="C21" s="2" t="inlineStr">
        <is>
          <t>Seguros</t>
        </is>
      </c>
      <c r="D21" s="2" t="inlineStr">
        <is>
          <t>CC-ADM</t>
        </is>
      </c>
      <c r="E21" s="3" t="n">
        <v>7091.44</v>
      </c>
      <c r="F21" s="2">
        <f>IFS(C21="Materia Prima","Costo Venta",C21="Transporte","Costo Venta",C21="Comisiones","Costo Venta",C21="Planilla","Gasto Administrativo",C21="Marketing","Gasto Administrativo",C21="Impuestos","Gasto Administrativo",TRUE,"Gasto Operativo")</f>
        <v/>
      </c>
      <c r="G21" s="3" t="n">
        <v>3000</v>
      </c>
    </row>
    <row r="22">
      <c r="A22" s="2" t="inlineStr">
        <is>
          <t>01/03/2025</t>
        </is>
      </c>
      <c r="B22" s="2" t="inlineStr">
        <is>
          <t>Sedapal</t>
        </is>
      </c>
      <c r="C22" s="2" t="inlineStr">
        <is>
          <t>Marketing</t>
        </is>
      </c>
      <c r="D22" s="2" t="inlineStr">
        <is>
          <t>CC-ADM</t>
        </is>
      </c>
      <c r="E22" s="3" t="n">
        <v>7241.32</v>
      </c>
      <c r="F22" s="2">
        <f>IFS(C22="Materia Prima","Costo Venta",C22="Transporte","Costo Venta",C22="Comisiones","Costo Venta",C22="Planilla","Gasto Administrativo",C22="Marketing","Gasto Administrativo",C22="Impuestos","Gasto Administrativo",TRUE,"Gasto Operativo")</f>
        <v/>
      </c>
      <c r="G22" s="3" t="n">
        <v>12000</v>
      </c>
    </row>
    <row r="23">
      <c r="A23" s="2" t="inlineStr">
        <is>
          <t>12/06/2025</t>
        </is>
      </c>
      <c r="B23" s="2" t="inlineStr">
        <is>
          <t>Maderas Perez</t>
        </is>
      </c>
      <c r="C23" s="2" t="inlineStr">
        <is>
          <t>Servicios</t>
        </is>
      </c>
      <c r="D23" s="2" t="inlineStr">
        <is>
          <t>CC-ADM</t>
        </is>
      </c>
      <c r="E23" s="3" t="n">
        <v>10805.72</v>
      </c>
      <c r="F23" s="2">
        <f>IFS(C23="Materia Prima","Costo Venta",C23="Transporte","Costo Venta",C23="Comisiones","Costo Venta",C23="Planilla","Gasto Administrativo",C23="Marketing","Gasto Administrativo",C23="Impuestos","Gasto Administrativo",TRUE,"Gasto Operativo")</f>
        <v/>
      </c>
      <c r="G23" s="3" t="n">
        <v>50000</v>
      </c>
    </row>
    <row r="24">
      <c r="A24" s="2" t="inlineStr">
        <is>
          <t>13/02/2025</t>
        </is>
      </c>
      <c r="B24" s="2" t="inlineStr">
        <is>
          <t>SUNAT</t>
        </is>
      </c>
      <c r="C24" s="2" t="inlineStr">
        <is>
          <t>Impuestos</t>
        </is>
      </c>
      <c r="D24" s="2" t="inlineStr">
        <is>
          <t>CC-ADM</t>
        </is>
      </c>
      <c r="E24" s="3" t="n">
        <v>6261.59</v>
      </c>
      <c r="F24" s="2">
        <f>IFS(C24="Materia Prima","Costo Venta",C24="Transporte","Costo Venta",C24="Comisiones","Costo Venta",C24="Planilla","Gasto Administrativo",C24="Marketing","Gasto Administrativo",C24="Impuestos","Gasto Administrativo",TRUE,"Gasto Operativo")</f>
        <v/>
      </c>
      <c r="G24" s="3" t="n">
        <v>18000</v>
      </c>
    </row>
    <row r="25">
      <c r="A25" s="2" t="inlineStr">
        <is>
          <t>21/01/2025</t>
        </is>
      </c>
      <c r="B25" s="2" t="inlineStr">
        <is>
          <t>Planilla</t>
        </is>
      </c>
      <c r="C25" s="2" t="inlineStr">
        <is>
          <t>Materia Prima</t>
        </is>
      </c>
      <c r="D25" s="2" t="inlineStr">
        <is>
          <t>CC-PROD</t>
        </is>
      </c>
      <c r="E25" s="3" t="n">
        <v>11905.62</v>
      </c>
      <c r="F25" s="2">
        <f>IFS(C25="Materia Prima","Costo Venta",C25="Transporte","Costo Venta",C25="Comisiones","Costo Venta",C25="Planilla","Gasto Administrativo",C25="Marketing","Gasto Administrativo",C25="Impuestos","Gasto Administrativo",TRUE,"Gasto Operativo")</f>
        <v/>
      </c>
      <c r="G25" s="3" t="n">
        <v>60000</v>
      </c>
    </row>
    <row r="26">
      <c r="A26" s="2" t="inlineStr">
        <is>
          <t>24/06/2025</t>
        </is>
      </c>
      <c r="B26" s="2" t="inlineStr">
        <is>
          <t>Sedapal</t>
        </is>
      </c>
      <c r="C26" s="2" t="inlineStr">
        <is>
          <t>Marketing</t>
        </is>
      </c>
      <c r="D26" s="2" t="inlineStr">
        <is>
          <t>CC-ADM</t>
        </is>
      </c>
      <c r="E26" s="3" t="n">
        <v>6757.96</v>
      </c>
      <c r="F26" s="2">
        <f>IFS(C26="Materia Prima","Costo Venta",C26="Transporte","Costo Venta",C26="Comisiones","Costo Venta",C26="Planilla","Gasto Administrativo",C26="Marketing","Gasto Administrativo",C26="Impuestos","Gasto Administrativo",TRUE,"Gasto Operativo")</f>
        <v/>
      </c>
      <c r="G26" s="3" t="n">
        <v>12000</v>
      </c>
    </row>
    <row r="27">
      <c r="A27" s="2" t="inlineStr">
        <is>
          <t>05/02/2025</t>
        </is>
      </c>
      <c r="B27" s="2" t="inlineStr">
        <is>
          <t>SUNAT</t>
        </is>
      </c>
      <c r="C27" s="2" t="inlineStr">
        <is>
          <t>Impuestos</t>
        </is>
      </c>
      <c r="D27" s="2" t="inlineStr">
        <is>
          <t>CC-ADM</t>
        </is>
      </c>
      <c r="E27" s="3" t="n">
        <v>5611.75</v>
      </c>
      <c r="F27" s="2">
        <f>IFS(C27="Materia Prima","Costo Venta",C27="Transporte","Costo Venta",C27="Comisiones","Costo Venta",C27="Planilla","Gasto Administrativo",C27="Marketing","Gasto Administrativo",C27="Impuestos","Gasto Administrativo",TRUE,"Gasto Operativo")</f>
        <v/>
      </c>
      <c r="G27" s="3" t="n">
        <v>18000</v>
      </c>
    </row>
    <row r="28">
      <c r="A28" s="2" t="inlineStr">
        <is>
          <t>02/04/2025</t>
        </is>
      </c>
      <c r="B28" s="2" t="inlineStr">
        <is>
          <t>Maderas Perez</t>
        </is>
      </c>
      <c r="C28" s="2" t="inlineStr">
        <is>
          <t>Servicios</t>
        </is>
      </c>
      <c r="D28" s="2" t="inlineStr">
        <is>
          <t>CC-ADM</t>
        </is>
      </c>
      <c r="E28" s="3" t="n">
        <v>2049.37</v>
      </c>
      <c r="F28" s="2">
        <f>IFS(C28="Materia Prima","Costo Venta",C28="Transporte","Costo Venta",C28="Comisiones","Costo Venta",C28="Planilla","Gasto Administrativo",C28="Marketing","Gasto Administrativo",C28="Impuestos","Gasto Administrativo",TRUE,"Gasto Operativo")</f>
        <v/>
      </c>
      <c r="G28" s="3" t="n">
        <v>50000</v>
      </c>
    </row>
    <row r="29">
      <c r="A29" s="2" t="inlineStr">
        <is>
          <t>01/02/2025</t>
        </is>
      </c>
      <c r="B29" s="2" t="inlineStr">
        <is>
          <t>Planilla</t>
        </is>
      </c>
      <c r="C29" s="2" t="inlineStr">
        <is>
          <t>Materia Prima</t>
        </is>
      </c>
      <c r="D29" s="2" t="inlineStr">
        <is>
          <t>CC-PROD</t>
        </is>
      </c>
      <c r="E29" s="3" t="n">
        <v>9687.219999999999</v>
      </c>
      <c r="F29" s="2">
        <f>IFS(C29="Materia Prima","Costo Venta",C29="Transporte","Costo Venta",C29="Comisiones","Costo Venta",C29="Planilla","Gasto Administrativo",C29="Marketing","Gasto Administrativo",C29="Impuestos","Gasto Administrativo",TRUE,"Gasto Operativo")</f>
        <v/>
      </c>
      <c r="G29" s="3" t="n">
        <v>60000</v>
      </c>
    </row>
    <row r="30">
      <c r="A30" s="2" t="inlineStr">
        <is>
          <t>09/06/2025</t>
        </is>
      </c>
      <c r="B30" s="2" t="inlineStr">
        <is>
          <t>Logistica Total</t>
        </is>
      </c>
      <c r="C30" s="2" t="inlineStr">
        <is>
          <t>Seguros</t>
        </is>
      </c>
      <c r="D30" s="2" t="inlineStr">
        <is>
          <t>CC-ADM</t>
        </is>
      </c>
      <c r="E30" s="3" t="n">
        <v>7794.09</v>
      </c>
      <c r="F30" s="2">
        <f>IFS(C30="Materia Prima","Costo Venta",C30="Transporte","Costo Venta",C30="Comisiones","Costo Venta",C30="Planilla","Gasto Administrativo",C30="Marketing","Gasto Administrativo",C30="Impuestos","Gasto Administrativo",TRUE,"Gasto Operativo")</f>
        <v/>
      </c>
      <c r="G30" s="3" t="n">
        <v>3000</v>
      </c>
    </row>
    <row r="31">
      <c r="A31" s="2" t="inlineStr">
        <is>
          <t>04/01/2025</t>
        </is>
      </c>
      <c r="B31" s="2" t="inlineStr">
        <is>
          <t>Interbank</t>
        </is>
      </c>
      <c r="C31" s="2" t="inlineStr">
        <is>
          <t>Comisiones</t>
        </is>
      </c>
      <c r="D31" s="2" t="inlineStr">
        <is>
          <t>CC-VTA</t>
        </is>
      </c>
      <c r="E31" s="3" t="n">
        <v>1220</v>
      </c>
      <c r="F31" s="2">
        <f>IFS(C31="Materia Prima","Costo Venta",C31="Transporte","Costo Venta",C31="Comisiones","Costo Venta",C31="Planilla","Gasto Administrativo",C31="Marketing","Gasto Administrativo",C31="Impuestos","Gasto Administrativo",TRUE,"Gasto Operativo")</f>
        <v/>
      </c>
      <c r="G31" s="3" t="n">
        <v>8000</v>
      </c>
    </row>
    <row r="32">
      <c r="A32" s="2" t="inlineStr">
        <is>
          <t>23/03/2025</t>
        </is>
      </c>
      <c r="B32" s="2" t="inlineStr">
        <is>
          <t>Pinturas Unidas</t>
        </is>
      </c>
      <c r="C32" s="2" t="inlineStr">
        <is>
          <t>Alquiler</t>
        </is>
      </c>
      <c r="D32" s="2" t="inlineStr">
        <is>
          <t>CC-VTA</t>
        </is>
      </c>
      <c r="E32" s="3" t="n">
        <v>1453.41</v>
      </c>
      <c r="F32" s="2">
        <f>IFS(C32="Materia Prima","Costo Venta",C32="Transporte","Costo Venta",C32="Comisiones","Costo Venta",C32="Planilla","Gasto Administrativo",C32="Marketing","Gasto Administrativo",C32="Impuestos","Gasto Administrativo",TRUE,"Gasto Operativo")</f>
        <v/>
      </c>
      <c r="G32" s="3" t="n">
        <v>6000</v>
      </c>
    </row>
    <row r="33">
      <c r="A33" s="2" t="inlineStr">
        <is>
          <t>26/01/2025</t>
        </is>
      </c>
      <c r="B33" s="2" t="inlineStr">
        <is>
          <t>SUNAT</t>
        </is>
      </c>
      <c r="C33" s="2" t="inlineStr">
        <is>
          <t>Impuestos</t>
        </is>
      </c>
      <c r="D33" s="2" t="inlineStr">
        <is>
          <t>CC-ADM</t>
        </is>
      </c>
      <c r="E33" s="3" t="n">
        <v>4840.78</v>
      </c>
      <c r="F33" s="2">
        <f>IFS(C33="Materia Prima","Costo Venta",C33="Transporte","Costo Venta",C33="Comisiones","Costo Venta",C33="Planilla","Gasto Administrativo",C33="Marketing","Gasto Administrativo",C33="Impuestos","Gasto Administrativo",TRUE,"Gasto Operativo")</f>
        <v/>
      </c>
      <c r="G33" s="3" t="n">
        <v>18000</v>
      </c>
    </row>
    <row r="34">
      <c r="A34" s="2" t="inlineStr">
        <is>
          <t>23/05/2025</t>
        </is>
      </c>
      <c r="B34" s="2" t="inlineStr">
        <is>
          <t>Logistica Total</t>
        </is>
      </c>
      <c r="C34" s="2" t="inlineStr">
        <is>
          <t>Seguros</t>
        </is>
      </c>
      <c r="D34" s="2" t="inlineStr">
        <is>
          <t>CC-ADM</t>
        </is>
      </c>
      <c r="E34" s="3" t="n">
        <v>835.0700000000001</v>
      </c>
      <c r="F34" s="2">
        <f>IFS(C34="Materia Prima","Costo Venta",C34="Transporte","Costo Venta",C34="Comisiones","Costo Venta",C34="Planilla","Gasto Administrativo",C34="Marketing","Gasto Administrativo",C34="Impuestos","Gasto Administrativo",TRUE,"Gasto Operativo")</f>
        <v/>
      </c>
      <c r="G34" s="3" t="n">
        <v>3000</v>
      </c>
    </row>
    <row r="35">
      <c r="A35" s="2" t="inlineStr">
        <is>
          <t>09/03/2025</t>
        </is>
      </c>
      <c r="B35" s="2" t="inlineStr">
        <is>
          <t>Pacifico Seguros</t>
        </is>
      </c>
      <c r="C35" s="2" t="inlineStr">
        <is>
          <t>Mantenimiento</t>
        </is>
      </c>
      <c r="D35" s="2" t="inlineStr">
        <is>
          <t>CC-PROD</t>
        </is>
      </c>
      <c r="E35" s="3" t="n">
        <v>879.86</v>
      </c>
      <c r="F35" s="2">
        <f>IFS(C35="Materia Prima","Costo Venta",C35="Transporte","Costo Venta",C35="Comisiones","Costo Venta",C35="Planilla","Gasto Administrativo",C35="Marketing","Gasto Administrativo",C35="Impuestos","Gasto Administrativo",TRUE,"Gasto Operativo")</f>
        <v/>
      </c>
      <c r="G35" s="3" t="n">
        <v>4500</v>
      </c>
    </row>
    <row r="36">
      <c r="A36" s="2" t="inlineStr">
        <is>
          <t>11/05/2025</t>
        </is>
      </c>
      <c r="B36" s="2" t="inlineStr">
        <is>
          <t>Logistica Total</t>
        </is>
      </c>
      <c r="C36" s="2" t="inlineStr">
        <is>
          <t>Seguros</t>
        </is>
      </c>
      <c r="D36" s="2" t="inlineStr">
        <is>
          <t>CC-ADM</t>
        </is>
      </c>
      <c r="E36" s="3" t="n">
        <v>4506.22</v>
      </c>
      <c r="F36" s="2">
        <f>IFS(C36="Materia Prima","Costo Venta",C36="Transporte","Costo Venta",C36="Comisiones","Costo Venta",C36="Planilla","Gasto Administrativo",C36="Marketing","Gasto Administrativo",C36="Impuestos","Gasto Administrativo",TRUE,"Gasto Operativo")</f>
        <v/>
      </c>
      <c r="G36" s="3" t="n">
        <v>3000</v>
      </c>
    </row>
    <row r="37">
      <c r="A37" s="2" t="inlineStr">
        <is>
          <t>21/06/2025</t>
        </is>
      </c>
      <c r="B37" s="2" t="inlineStr">
        <is>
          <t>Luz del Sur</t>
        </is>
      </c>
      <c r="C37" s="2" t="inlineStr">
        <is>
          <t>Planilla</t>
        </is>
      </c>
      <c r="D37" s="2" t="inlineStr">
        <is>
          <t>CC-PROD</t>
        </is>
      </c>
      <c r="E37" s="3" t="n">
        <v>10664.62</v>
      </c>
      <c r="F37" s="2">
        <f>IFS(C37="Materia Prima","Costo Venta",C37="Transporte","Costo Venta",C37="Comisiones","Costo Venta",C37="Planilla","Gasto Administrativo",C37="Marketing","Gasto Administrativo",C37="Impuestos","Gasto Administrativo",TRUE,"Gasto Operativo")</f>
        <v/>
      </c>
      <c r="G37" s="3" t="n">
        <v>85000</v>
      </c>
    </row>
    <row r="38">
      <c r="A38" s="2" t="inlineStr">
        <is>
          <t>03/04/2025</t>
        </is>
      </c>
      <c r="B38" s="2" t="inlineStr">
        <is>
          <t>Luz del Sur</t>
        </is>
      </c>
      <c r="C38" s="2" t="inlineStr">
        <is>
          <t>Planilla</t>
        </is>
      </c>
      <c r="D38" s="2" t="inlineStr">
        <is>
          <t>CC-PROD</t>
        </is>
      </c>
      <c r="E38" s="3" t="n">
        <v>4779.26</v>
      </c>
      <c r="F38" s="2">
        <f>IFS(C38="Materia Prima","Costo Venta",C38="Transporte","Costo Venta",C38="Comisiones","Costo Venta",C38="Planilla","Gasto Administrativo",C38="Marketing","Gasto Administrativo",C38="Impuestos","Gasto Administrativo",TRUE,"Gasto Operativo")</f>
        <v/>
      </c>
      <c r="G38" s="3" t="n">
        <v>85000</v>
      </c>
    </row>
    <row r="39">
      <c r="A39" s="2" t="inlineStr">
        <is>
          <t>24/02/2025</t>
        </is>
      </c>
      <c r="B39" s="2" t="inlineStr">
        <is>
          <t>Pinturas Unidas</t>
        </is>
      </c>
      <c r="C39" s="2" t="inlineStr">
        <is>
          <t>Alquiler</t>
        </is>
      </c>
      <c r="D39" s="2" t="inlineStr">
        <is>
          <t>CC-VTA</t>
        </is>
      </c>
      <c r="E39" s="3" t="n">
        <v>9984.700000000001</v>
      </c>
      <c r="F39" s="2">
        <f>IFS(C39="Materia Prima","Costo Venta",C39="Transporte","Costo Venta",C39="Comisiones","Costo Venta",C39="Planilla","Gasto Administrativo",C39="Marketing","Gasto Administrativo",C39="Impuestos","Gasto Administrativo",TRUE,"Gasto Operativo")</f>
        <v/>
      </c>
      <c r="G39" s="3" t="n">
        <v>6000</v>
      </c>
    </row>
    <row r="40">
      <c r="A40" s="2" t="inlineStr">
        <is>
          <t>02/06/2025</t>
        </is>
      </c>
      <c r="B40" s="2" t="inlineStr">
        <is>
          <t>SUNAT</t>
        </is>
      </c>
      <c r="C40" s="2" t="inlineStr">
        <is>
          <t>Impuestos</t>
        </is>
      </c>
      <c r="D40" s="2" t="inlineStr">
        <is>
          <t>CC-ADM</t>
        </is>
      </c>
      <c r="E40" s="3" t="n">
        <v>4952.9</v>
      </c>
      <c r="F40" s="2">
        <f>IFS(C40="Materia Prima","Costo Venta",C40="Transporte","Costo Venta",C40="Comisiones","Costo Venta",C40="Planilla","Gasto Administrativo",C40="Marketing","Gasto Administrativo",C40="Impuestos","Gasto Administrativo",TRUE,"Gasto Operativo")</f>
        <v/>
      </c>
      <c r="G40" s="3" t="n">
        <v>18000</v>
      </c>
    </row>
    <row r="41">
      <c r="A41" s="2" t="inlineStr">
        <is>
          <t>05/03/2025</t>
        </is>
      </c>
      <c r="B41" s="2" t="inlineStr">
        <is>
          <t>Planilla</t>
        </is>
      </c>
      <c r="C41" s="2" t="inlineStr">
        <is>
          <t>Materia Prima</t>
        </is>
      </c>
      <c r="D41" s="2" t="inlineStr">
        <is>
          <t>CC-PROD</t>
        </is>
      </c>
      <c r="E41" s="3" t="n">
        <v>9425.530000000001</v>
      </c>
      <c r="F41" s="2">
        <f>IFS(C41="Materia Prima","Costo Venta",C41="Transporte","Costo Venta",C41="Comisiones","Costo Venta",C41="Planilla","Gasto Administrativo",C41="Marketing","Gasto Administrativo",C41="Impuestos","Gasto Administrativo",TRUE,"Gasto Operativo")</f>
        <v/>
      </c>
      <c r="G41" s="3" t="n">
        <v>60000</v>
      </c>
    </row>
    <row r="42">
      <c r="A42" s="2" t="inlineStr">
        <is>
          <t>12/04/2025</t>
        </is>
      </c>
      <c r="B42" s="2" t="inlineStr">
        <is>
          <t>Luz del Sur</t>
        </is>
      </c>
      <c r="C42" s="2" t="inlineStr">
        <is>
          <t>Planilla</t>
        </is>
      </c>
      <c r="D42" s="2" t="inlineStr">
        <is>
          <t>CC-PROD</t>
        </is>
      </c>
      <c r="E42" s="3" t="n">
        <v>6651.59</v>
      </c>
      <c r="F42" s="2">
        <f>IFS(C42="Materia Prima","Costo Venta",C42="Transporte","Costo Venta",C42="Comisiones","Costo Venta",C42="Planilla","Gasto Administrativo",C42="Marketing","Gasto Administrativo",C42="Impuestos","Gasto Administrativo",TRUE,"Gasto Operativo")</f>
        <v/>
      </c>
      <c r="G42" s="3" t="n">
        <v>85000</v>
      </c>
    </row>
    <row r="43">
      <c r="A43" s="2" t="inlineStr">
        <is>
          <t>17/03/2025</t>
        </is>
      </c>
      <c r="B43" s="2" t="inlineStr">
        <is>
          <t>Pinturas Unidas</t>
        </is>
      </c>
      <c r="C43" s="2" t="inlineStr">
        <is>
          <t>Alquiler</t>
        </is>
      </c>
      <c r="D43" s="2" t="inlineStr">
        <is>
          <t>CC-VTA</t>
        </is>
      </c>
      <c r="E43" s="3" t="n">
        <v>7740.6</v>
      </c>
      <c r="F43" s="2">
        <f>IFS(C43="Materia Prima","Costo Venta",C43="Transporte","Costo Venta",C43="Comisiones","Costo Venta",C43="Planilla","Gasto Administrativo",C43="Marketing","Gasto Administrativo",C43="Impuestos","Gasto Administrativo",TRUE,"Gasto Operativo")</f>
        <v/>
      </c>
      <c r="G43" s="3" t="n">
        <v>6000</v>
      </c>
    </row>
    <row r="44">
      <c r="A44" s="2" t="inlineStr">
        <is>
          <t>13/05/2025</t>
        </is>
      </c>
      <c r="B44" s="2" t="inlineStr">
        <is>
          <t>Logistica Total</t>
        </is>
      </c>
      <c r="C44" s="2" t="inlineStr">
        <is>
          <t>Seguros</t>
        </is>
      </c>
      <c r="D44" s="2" t="inlineStr">
        <is>
          <t>CC-ADM</t>
        </is>
      </c>
      <c r="E44" s="3" t="n">
        <v>1213.64</v>
      </c>
      <c r="F44" s="2">
        <f>IFS(C44="Materia Prima","Costo Venta",C44="Transporte","Costo Venta",C44="Comisiones","Costo Venta",C44="Planilla","Gasto Administrativo",C44="Marketing","Gasto Administrativo",C44="Impuestos","Gasto Administrativo",TRUE,"Gasto Operativo")</f>
        <v/>
      </c>
      <c r="G44" s="3" t="n">
        <v>3000</v>
      </c>
    </row>
    <row r="45">
      <c r="A45" s="2" t="inlineStr">
        <is>
          <t>15/02/2025</t>
        </is>
      </c>
      <c r="B45" s="2" t="inlineStr">
        <is>
          <t>Maderas Perez</t>
        </is>
      </c>
      <c r="C45" s="2" t="inlineStr">
        <is>
          <t>Servicios</t>
        </is>
      </c>
      <c r="D45" s="2" t="inlineStr">
        <is>
          <t>CC-ADM</t>
        </is>
      </c>
      <c r="E45" s="3" t="n">
        <v>4519.71</v>
      </c>
      <c r="F45" s="2">
        <f>IFS(C45="Materia Prima","Costo Venta",C45="Transporte","Costo Venta",C45="Comisiones","Costo Venta",C45="Planilla","Gasto Administrativo",C45="Marketing","Gasto Administrativo",C45="Impuestos","Gasto Administrativo",TRUE,"Gasto Operativo")</f>
        <v/>
      </c>
      <c r="G45" s="3" t="n">
        <v>50000</v>
      </c>
    </row>
    <row r="46">
      <c r="A46" s="2" t="inlineStr">
        <is>
          <t>24/06/2025</t>
        </is>
      </c>
      <c r="B46" s="2" t="inlineStr">
        <is>
          <t>Pacifico Seguros</t>
        </is>
      </c>
      <c r="C46" s="2" t="inlineStr">
        <is>
          <t>Mantenimiento</t>
        </is>
      </c>
      <c r="D46" s="2" t="inlineStr">
        <is>
          <t>CC-PROD</t>
        </is>
      </c>
      <c r="E46" s="3" t="n">
        <v>3993.77</v>
      </c>
      <c r="F46" s="2">
        <f>IFS(C46="Materia Prima","Costo Venta",C46="Transporte","Costo Venta",C46="Comisiones","Costo Venta",C46="Planilla","Gasto Administrativo",C46="Marketing","Gasto Administrativo",C46="Impuestos","Gasto Administrativo",TRUE,"Gasto Operativo")</f>
        <v/>
      </c>
      <c r="G46" s="3" t="n">
        <v>4500</v>
      </c>
    </row>
    <row r="47">
      <c r="A47" s="2" t="inlineStr">
        <is>
          <t>06/01/2025</t>
        </is>
      </c>
      <c r="B47" s="2" t="inlineStr">
        <is>
          <t>SUNAT</t>
        </is>
      </c>
      <c r="C47" s="2" t="inlineStr">
        <is>
          <t>Impuestos</t>
        </is>
      </c>
      <c r="D47" s="2" t="inlineStr">
        <is>
          <t>CC-ADM</t>
        </is>
      </c>
      <c r="E47" s="3" t="n">
        <v>4235.85</v>
      </c>
      <c r="F47" s="2">
        <f>IFS(C47="Materia Prima","Costo Venta",C47="Transporte","Costo Venta",C47="Comisiones","Costo Venta",C47="Planilla","Gasto Administrativo",C47="Marketing","Gasto Administrativo",C47="Impuestos","Gasto Administrativo",TRUE,"Gasto Operativo")</f>
        <v/>
      </c>
      <c r="G47" s="3" t="n">
        <v>18000</v>
      </c>
    </row>
    <row r="48">
      <c r="A48" s="2" t="inlineStr">
        <is>
          <t>17/05/2025</t>
        </is>
      </c>
      <c r="B48" s="2" t="inlineStr">
        <is>
          <t>SUNAT</t>
        </is>
      </c>
      <c r="C48" s="2" t="inlineStr">
        <is>
          <t>Impuestos</t>
        </is>
      </c>
      <c r="D48" s="2" t="inlineStr">
        <is>
          <t>CC-ADM</t>
        </is>
      </c>
      <c r="E48" s="3" t="n">
        <v>2079.77</v>
      </c>
      <c r="F48" s="2">
        <f>IFS(C48="Materia Prima","Costo Venta",C48="Transporte","Costo Venta",C48="Comisiones","Costo Venta",C48="Planilla","Gasto Administrativo",C48="Marketing","Gasto Administrativo",C48="Impuestos","Gasto Administrativo",TRUE,"Gasto Operativo")</f>
        <v/>
      </c>
      <c r="G48" s="3" t="n">
        <v>18000</v>
      </c>
    </row>
    <row r="49">
      <c r="A49" s="2" t="inlineStr">
        <is>
          <t>04/05/2025</t>
        </is>
      </c>
      <c r="B49" s="2" t="inlineStr">
        <is>
          <t>SUNAT</t>
        </is>
      </c>
      <c r="C49" s="2" t="inlineStr">
        <is>
          <t>Impuestos</t>
        </is>
      </c>
      <c r="D49" s="2" t="inlineStr">
        <is>
          <t>CC-ADM</t>
        </is>
      </c>
      <c r="E49" s="3" t="n">
        <v>8852.75</v>
      </c>
      <c r="F49" s="2">
        <f>IFS(C49="Materia Prima","Costo Venta",C49="Transporte","Costo Venta",C49="Comisiones","Costo Venta",C49="Planilla","Gasto Administrativo",C49="Marketing","Gasto Administrativo",C49="Impuestos","Gasto Administrativo",TRUE,"Gasto Operativo")</f>
        <v/>
      </c>
      <c r="G49" s="3" t="n">
        <v>18000</v>
      </c>
    </row>
    <row r="50">
      <c r="A50" s="2" t="inlineStr">
        <is>
          <t>19/02/2025</t>
        </is>
      </c>
      <c r="B50" s="2" t="inlineStr">
        <is>
          <t>Agencia Creativa</t>
        </is>
      </c>
      <c r="C50" s="2" t="inlineStr">
        <is>
          <t>Transporte</t>
        </is>
      </c>
      <c r="D50" s="2" t="inlineStr">
        <is>
          <t>CC-VTA</t>
        </is>
      </c>
      <c r="E50" s="3" t="n">
        <v>1567.85</v>
      </c>
      <c r="F50" s="2">
        <f>IFS(C50="Materia Prima","Costo Venta",C50="Transporte","Costo Venta",C50="Comisiones","Costo Venta",C50="Planilla","Gasto Administrativo",C50="Marketing","Gasto Administrativo",C50="Impuestos","Gasto Administrativo",TRUE,"Gasto Operativo")</f>
        <v/>
      </c>
      <c r="G50" s="3" t="n">
        <v>15000</v>
      </c>
    </row>
    <row r="51">
      <c r="A51" s="2" t="inlineStr">
        <is>
          <t>08/05/2025</t>
        </is>
      </c>
      <c r="B51" s="2" t="inlineStr">
        <is>
          <t>Sedapal</t>
        </is>
      </c>
      <c r="C51" s="2" t="inlineStr">
        <is>
          <t>Marketing</t>
        </is>
      </c>
      <c r="D51" s="2" t="inlineStr">
        <is>
          <t>CC-ADM</t>
        </is>
      </c>
      <c r="E51" s="3" t="n">
        <v>10694.69</v>
      </c>
      <c r="F51" s="2">
        <f>IFS(C51="Materia Prima","Costo Venta",C51="Transporte","Costo Venta",C51="Comisiones","Costo Venta",C51="Planilla","Gasto Administrativo",C51="Marketing","Gasto Administrativo",C51="Impuestos","Gasto Administrativo",TRUE,"Gasto Operativo")</f>
        <v/>
      </c>
      <c r="G51" s="3" t="n">
        <v>12000</v>
      </c>
    </row>
    <row r="52">
      <c r="A52" s="2" t="inlineStr">
        <is>
          <t>13/03/2025</t>
        </is>
      </c>
      <c r="B52" s="2" t="inlineStr">
        <is>
          <t>Maderas Perez</t>
        </is>
      </c>
      <c r="C52" s="2" t="inlineStr">
        <is>
          <t>Servicios</t>
        </is>
      </c>
      <c r="D52" s="2" t="inlineStr">
        <is>
          <t>CC-ADM</t>
        </is>
      </c>
      <c r="E52" s="3" t="n">
        <v>11290.02</v>
      </c>
      <c r="F52" s="2">
        <f>IFS(C52="Materia Prima","Costo Venta",C52="Transporte","Costo Venta",C52="Comisiones","Costo Venta",C52="Planilla","Gasto Administrativo",C52="Marketing","Gasto Administrativo",C52="Impuestos","Gasto Administrativo",TRUE,"Gasto Operativo")</f>
        <v/>
      </c>
      <c r="G52" s="3" t="n">
        <v>50000</v>
      </c>
    </row>
    <row r="53">
      <c r="A53" s="2" t="inlineStr">
        <is>
          <t>07/01/2025</t>
        </is>
      </c>
      <c r="B53" s="2" t="inlineStr">
        <is>
          <t>SUNAT</t>
        </is>
      </c>
      <c r="C53" s="2" t="inlineStr">
        <is>
          <t>Impuestos</t>
        </is>
      </c>
      <c r="D53" s="2" t="inlineStr">
        <is>
          <t>CC-ADM</t>
        </is>
      </c>
      <c r="E53" s="3" t="n">
        <v>2794.24</v>
      </c>
      <c r="F53" s="2">
        <f>IFS(C53="Materia Prima","Costo Venta",C53="Transporte","Costo Venta",C53="Comisiones","Costo Venta",C53="Planilla","Gasto Administrativo",C53="Marketing","Gasto Administrativo",C53="Impuestos","Gasto Administrativo",TRUE,"Gasto Operativo")</f>
        <v/>
      </c>
      <c r="G53" s="3" t="n">
        <v>18000</v>
      </c>
    </row>
    <row r="54">
      <c r="A54" s="2" t="inlineStr">
        <is>
          <t>07/01/2025</t>
        </is>
      </c>
      <c r="B54" s="2" t="inlineStr">
        <is>
          <t>Planilla</t>
        </is>
      </c>
      <c r="C54" s="2" t="inlineStr">
        <is>
          <t>Materia Prima</t>
        </is>
      </c>
      <c r="D54" s="2" t="inlineStr">
        <is>
          <t>CC-PROD</t>
        </is>
      </c>
      <c r="E54" s="3" t="n">
        <v>6993.18</v>
      </c>
      <c r="F54" s="2">
        <f>IFS(C54="Materia Prima","Costo Venta",C54="Transporte","Costo Venta",C54="Comisiones","Costo Venta",C54="Planilla","Gasto Administrativo",C54="Marketing","Gasto Administrativo",C54="Impuestos","Gasto Administrativo",TRUE,"Gasto Operativo")</f>
        <v/>
      </c>
      <c r="G54" s="3" t="n">
        <v>60000</v>
      </c>
    </row>
    <row r="55">
      <c r="A55" s="2" t="inlineStr">
        <is>
          <t>20/01/2025</t>
        </is>
      </c>
      <c r="B55" s="2" t="inlineStr">
        <is>
          <t>Agencia Creativa</t>
        </is>
      </c>
      <c r="C55" s="2" t="inlineStr">
        <is>
          <t>Transporte</t>
        </is>
      </c>
      <c r="D55" s="2" t="inlineStr">
        <is>
          <t>CC-VTA</t>
        </is>
      </c>
      <c r="E55" s="3" t="n">
        <v>1463.02</v>
      </c>
      <c r="F55" s="2">
        <f>IFS(C55="Materia Prima","Costo Venta",C55="Transporte","Costo Venta",C55="Comisiones","Costo Venta",C55="Planilla","Gasto Administrativo",C55="Marketing","Gasto Administrativo",C55="Impuestos","Gasto Administrativo",TRUE,"Gasto Operativo")</f>
        <v/>
      </c>
      <c r="G55" s="3" t="n">
        <v>15000</v>
      </c>
    </row>
    <row r="56">
      <c r="A56" s="2" t="inlineStr">
        <is>
          <t>18/05/2025</t>
        </is>
      </c>
      <c r="B56" s="2" t="inlineStr">
        <is>
          <t>Luz del Sur</t>
        </is>
      </c>
      <c r="C56" s="2" t="inlineStr">
        <is>
          <t>Planilla</t>
        </is>
      </c>
      <c r="D56" s="2" t="inlineStr">
        <is>
          <t>CC-PROD</t>
        </is>
      </c>
      <c r="E56" s="3" t="n">
        <v>11187.8</v>
      </c>
      <c r="F56" s="2">
        <f>IFS(C56="Materia Prima","Costo Venta",C56="Transporte","Costo Venta",C56="Comisiones","Costo Venta",C56="Planilla","Gasto Administrativo",C56="Marketing","Gasto Administrativo",C56="Impuestos","Gasto Administrativo",TRUE,"Gasto Operativo")</f>
        <v/>
      </c>
      <c r="G56" s="3" t="n">
        <v>85000</v>
      </c>
    </row>
    <row r="57">
      <c r="A57" s="2" t="inlineStr">
        <is>
          <t>05/05/2025</t>
        </is>
      </c>
      <c r="B57" s="2" t="inlineStr">
        <is>
          <t>Pacifico Seguros</t>
        </is>
      </c>
      <c r="C57" s="2" t="inlineStr">
        <is>
          <t>Mantenimiento</t>
        </is>
      </c>
      <c r="D57" s="2" t="inlineStr">
        <is>
          <t>CC-PROD</t>
        </is>
      </c>
      <c r="E57" s="3" t="n">
        <v>6161.3</v>
      </c>
      <c r="F57" s="2">
        <f>IFS(C57="Materia Prima","Costo Venta",C57="Transporte","Costo Venta",C57="Comisiones","Costo Venta",C57="Planilla","Gasto Administrativo",C57="Marketing","Gasto Administrativo",C57="Impuestos","Gasto Administrativo",TRUE,"Gasto Operativo")</f>
        <v/>
      </c>
      <c r="G57" s="3" t="n">
        <v>4500</v>
      </c>
    </row>
    <row r="58">
      <c r="A58" s="2" t="inlineStr">
        <is>
          <t>25/04/2025</t>
        </is>
      </c>
      <c r="B58" s="2" t="inlineStr">
        <is>
          <t>Maderas Perez</t>
        </is>
      </c>
      <c r="C58" s="2" t="inlineStr">
        <is>
          <t>Servicios</t>
        </is>
      </c>
      <c r="D58" s="2" t="inlineStr">
        <is>
          <t>CC-ADM</t>
        </is>
      </c>
      <c r="E58" s="3" t="n">
        <v>3453.79</v>
      </c>
      <c r="F58" s="2">
        <f>IFS(C58="Materia Prima","Costo Venta",C58="Transporte","Costo Venta",C58="Comisiones","Costo Venta",C58="Planilla","Gasto Administrativo",C58="Marketing","Gasto Administrativo",C58="Impuestos","Gasto Administrativo",TRUE,"Gasto Operativo")</f>
        <v/>
      </c>
      <c r="G58" s="3" t="n">
        <v>50000</v>
      </c>
    </row>
    <row r="59">
      <c r="A59" s="2" t="inlineStr">
        <is>
          <t>28/05/2025</t>
        </is>
      </c>
      <c r="B59" s="2" t="inlineStr">
        <is>
          <t>Pacifico Seguros</t>
        </is>
      </c>
      <c r="C59" s="2" t="inlineStr">
        <is>
          <t>Mantenimiento</t>
        </is>
      </c>
      <c r="D59" s="2" t="inlineStr">
        <is>
          <t>CC-PROD</t>
        </is>
      </c>
      <c r="E59" s="3" t="n">
        <v>4416</v>
      </c>
      <c r="F59" s="2">
        <f>IFS(C59="Materia Prima","Costo Venta",C59="Transporte","Costo Venta",C59="Comisiones","Costo Venta",C59="Planilla","Gasto Administrativo",C59="Marketing","Gasto Administrativo",C59="Impuestos","Gasto Administrativo",TRUE,"Gasto Operativo")</f>
        <v/>
      </c>
      <c r="G59" s="3" t="n">
        <v>4500</v>
      </c>
    </row>
    <row r="60">
      <c r="A60" s="2" t="inlineStr">
        <is>
          <t>27/02/2025</t>
        </is>
      </c>
      <c r="B60" s="2" t="inlineStr">
        <is>
          <t>SUNAT</t>
        </is>
      </c>
      <c r="C60" s="2" t="inlineStr">
        <is>
          <t>Impuestos</t>
        </is>
      </c>
      <c r="D60" s="2" t="inlineStr">
        <is>
          <t>CC-ADM</t>
        </is>
      </c>
      <c r="E60" s="3" t="n">
        <v>11137.03</v>
      </c>
      <c r="F60" s="2">
        <f>IFS(C60="Materia Prima","Costo Venta",C60="Transporte","Costo Venta",C60="Comisiones","Costo Venta",C60="Planilla","Gasto Administrativo",C60="Marketing","Gasto Administrativo",C60="Impuestos","Gasto Administrativo",TRUE,"Gasto Operativo")</f>
        <v/>
      </c>
      <c r="G60" s="3" t="n">
        <v>18000</v>
      </c>
    </row>
    <row r="61">
      <c r="A61" s="2" t="inlineStr">
        <is>
          <t>21/05/2025</t>
        </is>
      </c>
      <c r="B61" s="2" t="inlineStr">
        <is>
          <t>Maderas Perez</t>
        </is>
      </c>
      <c r="C61" s="2" t="inlineStr">
        <is>
          <t>Servicios</t>
        </is>
      </c>
      <c r="D61" s="2" t="inlineStr">
        <is>
          <t>CC-ADM</t>
        </is>
      </c>
      <c r="E61" s="3" t="n">
        <v>10830.08</v>
      </c>
      <c r="F61" s="2">
        <f>IFS(C61="Materia Prima","Costo Venta",C61="Transporte","Costo Venta",C61="Comisiones","Costo Venta",C61="Planilla","Gasto Administrativo",C61="Marketing","Gasto Administrativo",C61="Impuestos","Gasto Administrativo",TRUE,"Gasto Operativo")</f>
        <v/>
      </c>
      <c r="G61" s="3" t="n">
        <v>50000</v>
      </c>
    </row>
    <row r="62">
      <c r="A62" s="2" t="inlineStr">
        <is>
          <t>20/05/2025</t>
        </is>
      </c>
      <c r="B62" s="2" t="inlineStr">
        <is>
          <t>Pacifico Seguros</t>
        </is>
      </c>
      <c r="C62" s="2" t="inlineStr">
        <is>
          <t>Mantenimiento</t>
        </is>
      </c>
      <c r="D62" s="2" t="inlineStr">
        <is>
          <t>CC-PROD</t>
        </is>
      </c>
      <c r="E62" s="3" t="n">
        <v>4449.04</v>
      </c>
      <c r="F62" s="2">
        <f>IFS(C62="Materia Prima","Costo Venta",C62="Transporte","Costo Venta",C62="Comisiones","Costo Venta",C62="Planilla","Gasto Administrativo",C62="Marketing","Gasto Administrativo",C62="Impuestos","Gasto Administrativo",TRUE,"Gasto Operativo")</f>
        <v/>
      </c>
      <c r="G62" s="3" t="n">
        <v>4500</v>
      </c>
    </row>
    <row r="63">
      <c r="A63" s="2" t="inlineStr">
        <is>
          <t>04/05/2025</t>
        </is>
      </c>
      <c r="B63" s="2" t="inlineStr">
        <is>
          <t>Maderas Perez</t>
        </is>
      </c>
      <c r="C63" s="2" t="inlineStr">
        <is>
          <t>Servicios</t>
        </is>
      </c>
      <c r="D63" s="2" t="inlineStr">
        <is>
          <t>CC-ADM</t>
        </is>
      </c>
      <c r="E63" s="3" t="n">
        <v>4647.43</v>
      </c>
      <c r="F63" s="2">
        <f>IFS(C63="Materia Prima","Costo Venta",C63="Transporte","Costo Venta",C63="Comisiones","Costo Venta",C63="Planilla","Gasto Administrativo",C63="Marketing","Gasto Administrativo",C63="Impuestos","Gasto Administrativo",TRUE,"Gasto Operativo")</f>
        <v/>
      </c>
      <c r="G63" s="3" t="n">
        <v>50000</v>
      </c>
    </row>
    <row r="64">
      <c r="A64" s="2" t="inlineStr">
        <is>
          <t>12/04/2025</t>
        </is>
      </c>
      <c r="B64" s="2" t="inlineStr">
        <is>
          <t>Logistica Total</t>
        </is>
      </c>
      <c r="C64" s="2" t="inlineStr">
        <is>
          <t>Seguros</t>
        </is>
      </c>
      <c r="D64" s="2" t="inlineStr">
        <is>
          <t>CC-ADM</t>
        </is>
      </c>
      <c r="E64" s="3" t="n">
        <v>4128.33</v>
      </c>
      <c r="F64" s="2">
        <f>IFS(C64="Materia Prima","Costo Venta",C64="Transporte","Costo Venta",C64="Comisiones","Costo Venta",C64="Planilla","Gasto Administrativo",C64="Marketing","Gasto Administrativo",C64="Impuestos","Gasto Administrativo",TRUE,"Gasto Operativo")</f>
        <v/>
      </c>
      <c r="G64" s="3" t="n">
        <v>3000</v>
      </c>
    </row>
    <row r="65">
      <c r="A65" s="2" t="inlineStr">
        <is>
          <t>25/02/2025</t>
        </is>
      </c>
      <c r="B65" s="2" t="inlineStr">
        <is>
          <t>Pacifico Seguros</t>
        </is>
      </c>
      <c r="C65" s="2" t="inlineStr">
        <is>
          <t>Mantenimiento</t>
        </is>
      </c>
      <c r="D65" s="2" t="inlineStr">
        <is>
          <t>CC-PROD</t>
        </is>
      </c>
      <c r="E65" s="3" t="n">
        <v>4444.88</v>
      </c>
      <c r="F65" s="2">
        <f>IFS(C65="Materia Prima","Costo Venta",C65="Transporte","Costo Venta",C65="Comisiones","Costo Venta",C65="Planilla","Gasto Administrativo",C65="Marketing","Gasto Administrativo",C65="Impuestos","Gasto Administrativo",TRUE,"Gasto Operativo")</f>
        <v/>
      </c>
      <c r="G65" s="3" t="n">
        <v>4500</v>
      </c>
    </row>
    <row r="66">
      <c r="A66" s="2" t="inlineStr">
        <is>
          <t>27/02/2025</t>
        </is>
      </c>
      <c r="B66" s="2" t="inlineStr">
        <is>
          <t>Luz del Sur</t>
        </is>
      </c>
      <c r="C66" s="2" t="inlineStr">
        <is>
          <t>Planilla</t>
        </is>
      </c>
      <c r="D66" s="2" t="inlineStr">
        <is>
          <t>CC-PROD</t>
        </is>
      </c>
      <c r="E66" s="3" t="n">
        <v>4897.31</v>
      </c>
      <c r="F66" s="2">
        <f>IFS(C66="Materia Prima","Costo Venta",C66="Transporte","Costo Venta",C66="Comisiones","Costo Venta",C66="Planilla","Gasto Administrativo",C66="Marketing","Gasto Administrativo",C66="Impuestos","Gasto Administrativo",TRUE,"Gasto Operativo")</f>
        <v/>
      </c>
      <c r="G66" s="3" t="n">
        <v>85000</v>
      </c>
    </row>
    <row r="67">
      <c r="A67" s="2" t="inlineStr">
        <is>
          <t>27/01/2025</t>
        </is>
      </c>
      <c r="B67" s="2" t="inlineStr">
        <is>
          <t>Logistica Total</t>
        </is>
      </c>
      <c r="C67" s="2" t="inlineStr">
        <is>
          <t>Seguros</t>
        </is>
      </c>
      <c r="D67" s="2" t="inlineStr">
        <is>
          <t>CC-ADM</t>
        </is>
      </c>
      <c r="E67" s="3" t="n">
        <v>4816.35</v>
      </c>
      <c r="F67" s="2">
        <f>IFS(C67="Materia Prima","Costo Venta",C67="Transporte","Costo Venta",C67="Comisiones","Costo Venta",C67="Planilla","Gasto Administrativo",C67="Marketing","Gasto Administrativo",C67="Impuestos","Gasto Administrativo",TRUE,"Gasto Operativo")</f>
        <v/>
      </c>
      <c r="G67" s="3" t="n">
        <v>3000</v>
      </c>
    </row>
    <row r="68">
      <c r="A68" s="2" t="inlineStr">
        <is>
          <t>27/03/2025</t>
        </is>
      </c>
      <c r="B68" s="2" t="inlineStr">
        <is>
          <t>Luz del Sur</t>
        </is>
      </c>
      <c r="C68" s="2" t="inlineStr">
        <is>
          <t>Planilla</t>
        </is>
      </c>
      <c r="D68" s="2" t="inlineStr">
        <is>
          <t>CC-PROD</t>
        </is>
      </c>
      <c r="E68" s="3" t="n">
        <v>10347.81</v>
      </c>
      <c r="F68" s="2">
        <f>IFS(C68="Materia Prima","Costo Venta",C68="Transporte","Costo Venta",C68="Comisiones","Costo Venta",C68="Planilla","Gasto Administrativo",C68="Marketing","Gasto Administrativo",C68="Impuestos","Gasto Administrativo",TRUE,"Gasto Operativo")</f>
        <v/>
      </c>
      <c r="G68" s="3" t="n">
        <v>85000</v>
      </c>
    </row>
    <row r="69">
      <c r="A69" s="2" t="inlineStr">
        <is>
          <t>12/04/2025</t>
        </is>
      </c>
      <c r="B69" s="2" t="inlineStr">
        <is>
          <t>Pinturas Unidas</t>
        </is>
      </c>
      <c r="C69" s="2" t="inlineStr">
        <is>
          <t>Alquiler</t>
        </is>
      </c>
      <c r="D69" s="2" t="inlineStr">
        <is>
          <t>CC-VTA</t>
        </is>
      </c>
      <c r="E69" s="3" t="n">
        <v>11099.35</v>
      </c>
      <c r="F69" s="2">
        <f>IFS(C69="Materia Prima","Costo Venta",C69="Transporte","Costo Venta",C69="Comisiones","Costo Venta",C69="Planilla","Gasto Administrativo",C69="Marketing","Gasto Administrativo",C69="Impuestos","Gasto Administrativo",TRUE,"Gasto Operativo")</f>
        <v/>
      </c>
      <c r="G69" s="3" t="n">
        <v>6000</v>
      </c>
    </row>
    <row r="70">
      <c r="A70" s="2" t="inlineStr">
        <is>
          <t>09/01/2025</t>
        </is>
      </c>
      <c r="B70" s="2" t="inlineStr">
        <is>
          <t>SUNAT</t>
        </is>
      </c>
      <c r="C70" s="2" t="inlineStr">
        <is>
          <t>Impuestos</t>
        </is>
      </c>
      <c r="D70" s="2" t="inlineStr">
        <is>
          <t>CC-ADM</t>
        </is>
      </c>
      <c r="E70" s="3" t="n">
        <v>9927.73</v>
      </c>
      <c r="F70" s="2">
        <f>IFS(C70="Materia Prima","Costo Venta",C70="Transporte","Costo Venta",C70="Comisiones","Costo Venta",C70="Planilla","Gasto Administrativo",C70="Marketing","Gasto Administrativo",C70="Impuestos","Gasto Administrativo",TRUE,"Gasto Operativo")</f>
        <v/>
      </c>
      <c r="G70" s="3" t="n">
        <v>18000</v>
      </c>
    </row>
    <row r="71">
      <c r="A71" s="2" t="inlineStr">
        <is>
          <t>02/03/2025</t>
        </is>
      </c>
      <c r="B71" s="2" t="inlineStr">
        <is>
          <t>Logistica Total</t>
        </is>
      </c>
      <c r="C71" s="2" t="inlineStr">
        <is>
          <t>Seguros</t>
        </is>
      </c>
      <c r="D71" s="2" t="inlineStr">
        <is>
          <t>CC-ADM</t>
        </is>
      </c>
      <c r="E71" s="3" t="n">
        <v>1093.45</v>
      </c>
      <c r="F71" s="2">
        <f>IFS(C71="Materia Prima","Costo Venta",C71="Transporte","Costo Venta",C71="Comisiones","Costo Venta",C71="Planilla","Gasto Administrativo",C71="Marketing","Gasto Administrativo",C71="Impuestos","Gasto Administrativo",TRUE,"Gasto Operativo")</f>
        <v/>
      </c>
      <c r="G71" s="3" t="n">
        <v>3000</v>
      </c>
    </row>
    <row r="72">
      <c r="A72" s="2" t="inlineStr">
        <is>
          <t>10/04/2025</t>
        </is>
      </c>
      <c r="B72" s="2" t="inlineStr">
        <is>
          <t>Pinturas Unidas</t>
        </is>
      </c>
      <c r="C72" s="2" t="inlineStr">
        <is>
          <t>Alquiler</t>
        </is>
      </c>
      <c r="D72" s="2" t="inlineStr">
        <is>
          <t>CC-VTA</t>
        </is>
      </c>
      <c r="E72" s="3" t="n">
        <v>5853.8</v>
      </c>
      <c r="F72" s="2">
        <f>IFS(C72="Materia Prima","Costo Venta",C72="Transporte","Costo Venta",C72="Comisiones","Costo Venta",C72="Planilla","Gasto Administrativo",C72="Marketing","Gasto Administrativo",C72="Impuestos","Gasto Administrativo",TRUE,"Gasto Operativo")</f>
        <v/>
      </c>
      <c r="G72" s="3" t="n">
        <v>6000</v>
      </c>
    </row>
    <row r="73">
      <c r="A73" s="2" t="inlineStr">
        <is>
          <t>11/06/2025</t>
        </is>
      </c>
      <c r="B73" s="2" t="inlineStr">
        <is>
          <t>Sedapal</t>
        </is>
      </c>
      <c r="C73" s="2" t="inlineStr">
        <is>
          <t>Marketing</t>
        </is>
      </c>
      <c r="D73" s="2" t="inlineStr">
        <is>
          <t>CC-ADM</t>
        </is>
      </c>
      <c r="E73" s="3" t="n">
        <v>7938.61</v>
      </c>
      <c r="F73" s="2">
        <f>IFS(C73="Materia Prima","Costo Venta",C73="Transporte","Costo Venta",C73="Comisiones","Costo Venta",C73="Planilla","Gasto Administrativo",C73="Marketing","Gasto Administrativo",C73="Impuestos","Gasto Administrativo",TRUE,"Gasto Operativo")</f>
        <v/>
      </c>
      <c r="G73" s="3" t="n">
        <v>12000</v>
      </c>
    </row>
    <row r="74">
      <c r="A74" s="2" t="inlineStr">
        <is>
          <t>27/03/2025</t>
        </is>
      </c>
      <c r="B74" s="2" t="inlineStr">
        <is>
          <t>Pacifico Seguros</t>
        </is>
      </c>
      <c r="C74" s="2" t="inlineStr">
        <is>
          <t>Mantenimiento</t>
        </is>
      </c>
      <c r="D74" s="2" t="inlineStr">
        <is>
          <t>CC-PROD</t>
        </is>
      </c>
      <c r="E74" s="3" t="n">
        <v>6971.81</v>
      </c>
      <c r="F74" s="2">
        <f>IFS(C74="Materia Prima","Costo Venta",C74="Transporte","Costo Venta",C74="Comisiones","Costo Venta",C74="Planilla","Gasto Administrativo",C74="Marketing","Gasto Administrativo",C74="Impuestos","Gasto Administrativo",TRUE,"Gasto Operativo")</f>
        <v/>
      </c>
      <c r="G74" s="3" t="n">
        <v>4500</v>
      </c>
    </row>
    <row r="75">
      <c r="A75" s="2" t="inlineStr">
        <is>
          <t>08/03/2025</t>
        </is>
      </c>
      <c r="B75" s="2" t="inlineStr">
        <is>
          <t>Pacifico Seguros</t>
        </is>
      </c>
      <c r="C75" s="2" t="inlineStr">
        <is>
          <t>Mantenimiento</t>
        </is>
      </c>
      <c r="D75" s="2" t="inlineStr">
        <is>
          <t>CC-PROD</t>
        </is>
      </c>
      <c r="E75" s="3" t="n">
        <v>6261.45</v>
      </c>
      <c r="F75" s="2">
        <f>IFS(C75="Materia Prima","Costo Venta",C75="Transporte","Costo Venta",C75="Comisiones","Costo Venta",C75="Planilla","Gasto Administrativo",C75="Marketing","Gasto Administrativo",C75="Impuestos","Gasto Administrativo",TRUE,"Gasto Operativo")</f>
        <v/>
      </c>
      <c r="G75" s="3" t="n">
        <v>4500</v>
      </c>
    </row>
    <row r="76">
      <c r="A76" s="2" t="inlineStr">
        <is>
          <t>11/03/2025</t>
        </is>
      </c>
      <c r="B76" s="2" t="inlineStr">
        <is>
          <t>Maderas Perez</t>
        </is>
      </c>
      <c r="C76" s="2" t="inlineStr">
        <is>
          <t>Servicios</t>
        </is>
      </c>
      <c r="D76" s="2" t="inlineStr">
        <is>
          <t>CC-ADM</t>
        </is>
      </c>
      <c r="E76" s="3" t="n">
        <v>2595.37</v>
      </c>
      <c r="F76" s="2">
        <f>IFS(C76="Materia Prima","Costo Venta",C76="Transporte","Costo Venta",C76="Comisiones","Costo Venta",C76="Planilla","Gasto Administrativo",C76="Marketing","Gasto Administrativo",C76="Impuestos","Gasto Administrativo",TRUE,"Gasto Operativo")</f>
        <v/>
      </c>
      <c r="G76" s="3" t="n">
        <v>50000</v>
      </c>
    </row>
    <row r="77">
      <c r="A77" s="2" t="inlineStr">
        <is>
          <t>14/01/2025</t>
        </is>
      </c>
      <c r="B77" s="2" t="inlineStr">
        <is>
          <t>Pacifico Seguros</t>
        </is>
      </c>
      <c r="C77" s="2" t="inlineStr">
        <is>
          <t>Mantenimiento</t>
        </is>
      </c>
      <c r="D77" s="2" t="inlineStr">
        <is>
          <t>CC-PROD</t>
        </is>
      </c>
      <c r="E77" s="3" t="n">
        <v>8938.27</v>
      </c>
      <c r="F77" s="2">
        <f>IFS(C77="Materia Prima","Costo Venta",C77="Transporte","Costo Venta",C77="Comisiones","Costo Venta",C77="Planilla","Gasto Administrativo",C77="Marketing","Gasto Administrativo",C77="Impuestos","Gasto Administrativo",TRUE,"Gasto Operativo")</f>
        <v/>
      </c>
      <c r="G77" s="3" t="n">
        <v>4500</v>
      </c>
    </row>
    <row r="78">
      <c r="A78" s="2" t="inlineStr">
        <is>
          <t>18/04/2025</t>
        </is>
      </c>
      <c r="B78" s="2" t="inlineStr">
        <is>
          <t>Maderas Perez</t>
        </is>
      </c>
      <c r="C78" s="2" t="inlineStr">
        <is>
          <t>Servicios</t>
        </is>
      </c>
      <c r="D78" s="2" t="inlineStr">
        <is>
          <t>CC-ADM</t>
        </is>
      </c>
      <c r="E78" s="3" t="n">
        <v>5908.54</v>
      </c>
      <c r="F78" s="2">
        <f>IFS(C78="Materia Prima","Costo Venta",C78="Transporte","Costo Venta",C78="Comisiones","Costo Venta",C78="Planilla","Gasto Administrativo",C78="Marketing","Gasto Administrativo",C78="Impuestos","Gasto Administrativo",TRUE,"Gasto Operativo")</f>
        <v/>
      </c>
      <c r="G78" s="3" t="n">
        <v>50000</v>
      </c>
    </row>
    <row r="79">
      <c r="A79" s="2" t="inlineStr">
        <is>
          <t>05/05/2025</t>
        </is>
      </c>
      <c r="B79" s="2" t="inlineStr">
        <is>
          <t>Agencia Creativa</t>
        </is>
      </c>
      <c r="C79" s="2" t="inlineStr">
        <is>
          <t>Transporte</t>
        </is>
      </c>
      <c r="D79" s="2" t="inlineStr">
        <is>
          <t>CC-VTA</t>
        </is>
      </c>
      <c r="E79" s="3" t="n">
        <v>10510.37</v>
      </c>
      <c r="F79" s="2">
        <f>IFS(C79="Materia Prima","Costo Venta",C79="Transporte","Costo Venta",C79="Comisiones","Costo Venta",C79="Planilla","Gasto Administrativo",C79="Marketing","Gasto Administrativo",C79="Impuestos","Gasto Administrativo",TRUE,"Gasto Operativo")</f>
        <v/>
      </c>
      <c r="G79" s="3" t="n">
        <v>15000</v>
      </c>
    </row>
    <row r="80">
      <c r="A80" s="2" t="inlineStr">
        <is>
          <t>20/02/2025</t>
        </is>
      </c>
      <c r="B80" s="2" t="inlineStr">
        <is>
          <t>Maderas Perez</t>
        </is>
      </c>
      <c r="C80" s="2" t="inlineStr">
        <is>
          <t>Servicios</t>
        </is>
      </c>
      <c r="D80" s="2" t="inlineStr">
        <is>
          <t>CC-ADM</t>
        </is>
      </c>
      <c r="E80" s="3" t="n">
        <v>5829.17</v>
      </c>
      <c r="F80" s="2">
        <f>IFS(C80="Materia Prima","Costo Venta",C80="Transporte","Costo Venta",C80="Comisiones","Costo Venta",C80="Planilla","Gasto Administrativo",C80="Marketing","Gasto Administrativo",C80="Impuestos","Gasto Administrativo",TRUE,"Gasto Operativo")</f>
        <v/>
      </c>
      <c r="G80" s="3" t="n">
        <v>50000</v>
      </c>
    </row>
    <row r="81">
      <c r="A81" s="2" t="inlineStr">
        <is>
          <t>25/05/2025</t>
        </is>
      </c>
      <c r="B81" s="2" t="inlineStr">
        <is>
          <t>Planilla</t>
        </is>
      </c>
      <c r="C81" s="2" t="inlineStr">
        <is>
          <t>Materia Prima</t>
        </is>
      </c>
      <c r="D81" s="2" t="inlineStr">
        <is>
          <t>CC-PROD</t>
        </is>
      </c>
      <c r="E81" s="3" t="n">
        <v>8616.110000000001</v>
      </c>
      <c r="F81" s="2">
        <f>IFS(C81="Materia Prima","Costo Venta",C81="Transporte","Costo Venta",C81="Comisiones","Costo Venta",C81="Planilla","Gasto Administrativo",C81="Marketing","Gasto Administrativo",C81="Impuestos","Gasto Administrativo",TRUE,"Gasto Operativo")</f>
        <v/>
      </c>
      <c r="G81" s="3" t="n">
        <v>60000</v>
      </c>
    </row>
    <row r="82">
      <c r="A82" s="2" t="inlineStr">
        <is>
          <t>11/01/2025</t>
        </is>
      </c>
      <c r="B82" s="2" t="inlineStr">
        <is>
          <t>Logistica Total</t>
        </is>
      </c>
      <c r="C82" s="2" t="inlineStr">
        <is>
          <t>Seguros</t>
        </is>
      </c>
      <c r="D82" s="2" t="inlineStr">
        <is>
          <t>CC-ADM</t>
        </is>
      </c>
      <c r="E82" s="3" t="n">
        <v>3117.14</v>
      </c>
      <c r="F82" s="2">
        <f>IFS(C82="Materia Prima","Costo Venta",C82="Transporte","Costo Venta",C82="Comisiones","Costo Venta",C82="Planilla","Gasto Administrativo",C82="Marketing","Gasto Administrativo",C82="Impuestos","Gasto Administrativo",TRUE,"Gasto Operativo")</f>
        <v/>
      </c>
      <c r="G82" s="3" t="n">
        <v>3000</v>
      </c>
    </row>
    <row r="83">
      <c r="A83" s="2" t="inlineStr">
        <is>
          <t>28/01/2025</t>
        </is>
      </c>
      <c r="B83" s="2" t="inlineStr">
        <is>
          <t>Planilla</t>
        </is>
      </c>
      <c r="C83" s="2" t="inlineStr">
        <is>
          <t>Materia Prima</t>
        </is>
      </c>
      <c r="D83" s="2" t="inlineStr">
        <is>
          <t>CC-PROD</t>
        </is>
      </c>
      <c r="E83" s="3" t="n">
        <v>3778.56</v>
      </c>
      <c r="F83" s="2">
        <f>IFS(C83="Materia Prima","Costo Venta",C83="Transporte","Costo Venta",C83="Comisiones","Costo Venta",C83="Planilla","Gasto Administrativo",C83="Marketing","Gasto Administrativo",C83="Impuestos","Gasto Administrativo",TRUE,"Gasto Operativo")</f>
        <v/>
      </c>
      <c r="G83" s="3" t="n">
        <v>60000</v>
      </c>
    </row>
    <row r="84">
      <c r="A84" s="2" t="inlineStr">
        <is>
          <t>12/04/2025</t>
        </is>
      </c>
      <c r="B84" s="2" t="inlineStr">
        <is>
          <t>Logistica Total</t>
        </is>
      </c>
      <c r="C84" s="2" t="inlineStr">
        <is>
          <t>Seguros</t>
        </is>
      </c>
      <c r="D84" s="2" t="inlineStr">
        <is>
          <t>CC-ADM</t>
        </is>
      </c>
      <c r="E84" s="3" t="n">
        <v>999.17</v>
      </c>
      <c r="F84" s="2">
        <f>IFS(C84="Materia Prima","Costo Venta",C84="Transporte","Costo Venta",C84="Comisiones","Costo Venta",C84="Planilla","Gasto Administrativo",C84="Marketing","Gasto Administrativo",C84="Impuestos","Gasto Administrativo",TRUE,"Gasto Operativo")</f>
        <v/>
      </c>
      <c r="G84" s="3" t="n">
        <v>3000</v>
      </c>
    </row>
    <row r="85">
      <c r="A85" s="2" t="inlineStr">
        <is>
          <t>16/01/2025</t>
        </is>
      </c>
      <c r="B85" s="2" t="inlineStr">
        <is>
          <t>Luz del Sur</t>
        </is>
      </c>
      <c r="C85" s="2" t="inlineStr">
        <is>
          <t>Planilla</t>
        </is>
      </c>
      <c r="D85" s="2" t="inlineStr">
        <is>
          <t>CC-PROD</t>
        </is>
      </c>
      <c r="E85" s="3" t="n">
        <v>2779.77</v>
      </c>
      <c r="F85" s="2">
        <f>IFS(C85="Materia Prima","Costo Venta",C85="Transporte","Costo Venta",C85="Comisiones","Costo Venta",C85="Planilla","Gasto Administrativo",C85="Marketing","Gasto Administrativo",C85="Impuestos","Gasto Administrativo",TRUE,"Gasto Operativo")</f>
        <v/>
      </c>
      <c r="G85" s="3" t="n">
        <v>85000</v>
      </c>
    </row>
    <row r="86">
      <c r="A86" s="2" t="inlineStr">
        <is>
          <t>17/03/2025</t>
        </is>
      </c>
      <c r="B86" s="2" t="inlineStr">
        <is>
          <t>Luz del Sur</t>
        </is>
      </c>
      <c r="C86" s="2" t="inlineStr">
        <is>
          <t>Planilla</t>
        </is>
      </c>
      <c r="D86" s="2" t="inlineStr">
        <is>
          <t>CC-PROD</t>
        </is>
      </c>
      <c r="E86" s="3" t="n">
        <v>9284.35</v>
      </c>
      <c r="F86" s="2">
        <f>IFS(C86="Materia Prima","Costo Venta",C86="Transporte","Costo Venta",C86="Comisiones","Costo Venta",C86="Planilla","Gasto Administrativo",C86="Marketing","Gasto Administrativo",C86="Impuestos","Gasto Administrativo",TRUE,"Gasto Operativo")</f>
        <v/>
      </c>
      <c r="G86" s="3" t="n">
        <v>85000</v>
      </c>
    </row>
    <row r="87">
      <c r="A87" s="2" t="inlineStr">
        <is>
          <t>27/05/2025</t>
        </is>
      </c>
      <c r="B87" s="2" t="inlineStr">
        <is>
          <t>Sedapal</t>
        </is>
      </c>
      <c r="C87" s="2" t="inlineStr">
        <is>
          <t>Marketing</t>
        </is>
      </c>
      <c r="D87" s="2" t="inlineStr">
        <is>
          <t>CC-ADM</t>
        </is>
      </c>
      <c r="E87" s="3" t="n">
        <v>3981.66</v>
      </c>
      <c r="F87" s="2">
        <f>IFS(C87="Materia Prima","Costo Venta",C87="Transporte","Costo Venta",C87="Comisiones","Costo Venta",C87="Planilla","Gasto Administrativo",C87="Marketing","Gasto Administrativo",C87="Impuestos","Gasto Administrativo",TRUE,"Gasto Operativo")</f>
        <v/>
      </c>
      <c r="G87" s="3" t="n">
        <v>12000</v>
      </c>
    </row>
    <row r="88">
      <c r="A88" s="2" t="inlineStr">
        <is>
          <t>08/04/2025</t>
        </is>
      </c>
      <c r="B88" s="2" t="inlineStr">
        <is>
          <t>Planilla</t>
        </is>
      </c>
      <c r="C88" s="2" t="inlineStr">
        <is>
          <t>Materia Prima</t>
        </is>
      </c>
      <c r="D88" s="2" t="inlineStr">
        <is>
          <t>CC-PROD</t>
        </is>
      </c>
      <c r="E88" s="3" t="n">
        <v>6569.82</v>
      </c>
      <c r="F88" s="2">
        <f>IFS(C88="Materia Prima","Costo Venta",C88="Transporte","Costo Venta",C88="Comisiones","Costo Venta",C88="Planilla","Gasto Administrativo",C88="Marketing","Gasto Administrativo",C88="Impuestos","Gasto Administrativo",TRUE,"Gasto Operativo")</f>
        <v/>
      </c>
      <c r="G88" s="3" t="n">
        <v>60000</v>
      </c>
    </row>
    <row r="89">
      <c r="A89" s="2" t="inlineStr">
        <is>
          <t>15/01/2025</t>
        </is>
      </c>
      <c r="B89" s="2" t="inlineStr">
        <is>
          <t>Interbank</t>
        </is>
      </c>
      <c r="C89" s="2" t="inlineStr">
        <is>
          <t>Comisiones</t>
        </is>
      </c>
      <c r="D89" s="2" t="inlineStr">
        <is>
          <t>CC-VTA</t>
        </is>
      </c>
      <c r="E89" s="3" t="n">
        <v>6767.06</v>
      </c>
      <c r="F89" s="2">
        <f>IFS(C89="Materia Prima","Costo Venta",C89="Transporte","Costo Venta",C89="Comisiones","Costo Venta",C89="Planilla","Gasto Administrativo",C89="Marketing","Gasto Administrativo",C89="Impuestos","Gasto Administrativo",TRUE,"Gasto Operativo")</f>
        <v/>
      </c>
      <c r="G89" s="3" t="n">
        <v>8000</v>
      </c>
    </row>
    <row r="90">
      <c r="A90" s="2" t="inlineStr">
        <is>
          <t>26/03/2025</t>
        </is>
      </c>
      <c r="B90" s="2" t="inlineStr">
        <is>
          <t>Sedapal</t>
        </is>
      </c>
      <c r="C90" s="2" t="inlineStr">
        <is>
          <t>Marketing</t>
        </is>
      </c>
      <c r="D90" s="2" t="inlineStr">
        <is>
          <t>CC-ADM</t>
        </is>
      </c>
      <c r="E90" s="3" t="n">
        <v>6488.13</v>
      </c>
      <c r="F90" s="2">
        <f>IFS(C90="Materia Prima","Costo Venta",C90="Transporte","Costo Venta",C90="Comisiones","Costo Venta",C90="Planilla","Gasto Administrativo",C90="Marketing","Gasto Administrativo",C90="Impuestos","Gasto Administrativo",TRUE,"Gasto Operativo")</f>
        <v/>
      </c>
      <c r="G90" s="3" t="n">
        <v>12000</v>
      </c>
    </row>
    <row r="91">
      <c r="A91" s="2" t="inlineStr">
        <is>
          <t>21/01/2025</t>
        </is>
      </c>
      <c r="B91" s="2" t="inlineStr">
        <is>
          <t>Logistica Total</t>
        </is>
      </c>
      <c r="C91" s="2" t="inlineStr">
        <is>
          <t>Seguros</t>
        </is>
      </c>
      <c r="D91" s="2" t="inlineStr">
        <is>
          <t>CC-ADM</t>
        </is>
      </c>
      <c r="E91" s="3" t="n">
        <v>5173.75</v>
      </c>
      <c r="F91" s="2">
        <f>IFS(C91="Materia Prima","Costo Venta",C91="Transporte","Costo Venta",C91="Comisiones","Costo Venta",C91="Planilla","Gasto Administrativo",C91="Marketing","Gasto Administrativo",C91="Impuestos","Gasto Administrativo",TRUE,"Gasto Operativo")</f>
        <v/>
      </c>
      <c r="G91" s="3" t="n">
        <v>3000</v>
      </c>
    </row>
    <row r="92">
      <c r="A92" s="2" t="inlineStr">
        <is>
          <t>04/04/2025</t>
        </is>
      </c>
      <c r="B92" s="2" t="inlineStr">
        <is>
          <t>Maderas Perez</t>
        </is>
      </c>
      <c r="C92" s="2" t="inlineStr">
        <is>
          <t>Servicios</t>
        </is>
      </c>
      <c r="D92" s="2" t="inlineStr">
        <is>
          <t>CC-ADM</t>
        </is>
      </c>
      <c r="E92" s="3" t="n">
        <v>7055.09</v>
      </c>
      <c r="F92" s="2">
        <f>IFS(C92="Materia Prima","Costo Venta",C92="Transporte","Costo Venta",C92="Comisiones","Costo Venta",C92="Planilla","Gasto Administrativo",C92="Marketing","Gasto Administrativo",C92="Impuestos","Gasto Administrativo",TRUE,"Gasto Operativo")</f>
        <v/>
      </c>
      <c r="G92" s="3" t="n">
        <v>50000</v>
      </c>
    </row>
    <row r="93">
      <c r="A93" s="2" t="inlineStr">
        <is>
          <t>14/06/2025</t>
        </is>
      </c>
      <c r="B93" s="2" t="inlineStr">
        <is>
          <t>SUNAT</t>
        </is>
      </c>
      <c r="C93" s="2" t="inlineStr">
        <is>
          <t>Impuestos</t>
        </is>
      </c>
      <c r="D93" s="2" t="inlineStr">
        <is>
          <t>CC-ADM</t>
        </is>
      </c>
      <c r="E93" s="3" t="n">
        <v>4599.36</v>
      </c>
      <c r="F93" s="2">
        <f>IFS(C93="Materia Prima","Costo Venta",C93="Transporte","Costo Venta",C93="Comisiones","Costo Venta",C93="Planilla","Gasto Administrativo",C93="Marketing","Gasto Administrativo",C93="Impuestos","Gasto Administrativo",TRUE,"Gasto Operativo")</f>
        <v/>
      </c>
      <c r="G93" s="3" t="n">
        <v>18000</v>
      </c>
    </row>
    <row r="94">
      <c r="A94" s="2" t="inlineStr">
        <is>
          <t>05/04/2025</t>
        </is>
      </c>
      <c r="B94" s="2" t="inlineStr">
        <is>
          <t>Sedapal</t>
        </is>
      </c>
      <c r="C94" s="2" t="inlineStr">
        <is>
          <t>Marketing</t>
        </is>
      </c>
      <c r="D94" s="2" t="inlineStr">
        <is>
          <t>CC-ADM</t>
        </is>
      </c>
      <c r="E94" s="3" t="n">
        <v>11190.52</v>
      </c>
      <c r="F94" s="2">
        <f>IFS(C94="Materia Prima","Costo Venta",C94="Transporte","Costo Venta",C94="Comisiones","Costo Venta",C94="Planilla","Gasto Administrativo",C94="Marketing","Gasto Administrativo",C94="Impuestos","Gasto Administrativo",TRUE,"Gasto Operativo")</f>
        <v/>
      </c>
      <c r="G94" s="3" t="n">
        <v>12000</v>
      </c>
    </row>
    <row r="95">
      <c r="A95" s="2" t="inlineStr">
        <is>
          <t>02/02/2025</t>
        </is>
      </c>
      <c r="B95" s="2" t="inlineStr">
        <is>
          <t>Sedapal</t>
        </is>
      </c>
      <c r="C95" s="2" t="inlineStr">
        <is>
          <t>Marketing</t>
        </is>
      </c>
      <c r="D95" s="2" t="inlineStr">
        <is>
          <t>CC-ADM</t>
        </is>
      </c>
      <c r="E95" s="3" t="n">
        <v>10965.28</v>
      </c>
      <c r="F95" s="2">
        <f>IFS(C95="Materia Prima","Costo Venta",C95="Transporte","Costo Venta",C95="Comisiones","Costo Venta",C95="Planilla","Gasto Administrativo",C95="Marketing","Gasto Administrativo",C95="Impuestos","Gasto Administrativo",TRUE,"Gasto Operativo")</f>
        <v/>
      </c>
      <c r="G95" s="3" t="n">
        <v>12000</v>
      </c>
    </row>
    <row r="96">
      <c r="A96" s="2" t="inlineStr">
        <is>
          <t>13/01/2025</t>
        </is>
      </c>
      <c r="B96" s="2" t="inlineStr">
        <is>
          <t>Maderas Perez</t>
        </is>
      </c>
      <c r="C96" s="2" t="inlineStr">
        <is>
          <t>Servicios</t>
        </is>
      </c>
      <c r="D96" s="2" t="inlineStr">
        <is>
          <t>CC-ADM</t>
        </is>
      </c>
      <c r="E96" s="3" t="n">
        <v>626</v>
      </c>
      <c r="F96" s="2">
        <f>IFS(C96="Materia Prima","Costo Venta",C96="Transporte","Costo Venta",C96="Comisiones","Costo Venta",C96="Planilla","Gasto Administrativo",C96="Marketing","Gasto Administrativo",C96="Impuestos","Gasto Administrativo",TRUE,"Gasto Operativo")</f>
        <v/>
      </c>
      <c r="G96" s="3" t="n">
        <v>50000</v>
      </c>
    </row>
    <row r="97">
      <c r="A97" s="2" t="inlineStr">
        <is>
          <t>11/06/2025</t>
        </is>
      </c>
      <c r="B97" s="2" t="inlineStr">
        <is>
          <t>SUNAT</t>
        </is>
      </c>
      <c r="C97" s="2" t="inlineStr">
        <is>
          <t>Impuestos</t>
        </is>
      </c>
      <c r="D97" s="2" t="inlineStr">
        <is>
          <t>CC-ADM</t>
        </is>
      </c>
      <c r="E97" s="3" t="n">
        <v>844.42</v>
      </c>
      <c r="F97" s="2">
        <f>IFS(C97="Materia Prima","Costo Venta",C97="Transporte","Costo Venta",C97="Comisiones","Costo Venta",C97="Planilla","Gasto Administrativo",C97="Marketing","Gasto Administrativo",C97="Impuestos","Gasto Administrativo",TRUE,"Gasto Operativo")</f>
        <v/>
      </c>
      <c r="G97" s="3" t="n">
        <v>18000</v>
      </c>
    </row>
    <row r="98">
      <c r="A98" s="2" t="inlineStr">
        <is>
          <t>24/02/2025</t>
        </is>
      </c>
      <c r="B98" s="2" t="inlineStr">
        <is>
          <t>Logistica Total</t>
        </is>
      </c>
      <c r="C98" s="2" t="inlineStr">
        <is>
          <t>Seguros</t>
        </is>
      </c>
      <c r="D98" s="2" t="inlineStr">
        <is>
          <t>CC-ADM</t>
        </is>
      </c>
      <c r="E98" s="3" t="n">
        <v>8536.49</v>
      </c>
      <c r="F98" s="2">
        <f>IFS(C98="Materia Prima","Costo Venta",C98="Transporte","Costo Venta",C98="Comisiones","Costo Venta",C98="Planilla","Gasto Administrativo",C98="Marketing","Gasto Administrativo",C98="Impuestos","Gasto Administrativo",TRUE,"Gasto Operativo")</f>
        <v/>
      </c>
      <c r="G98" s="3" t="n">
        <v>3000</v>
      </c>
    </row>
    <row r="99">
      <c r="A99" s="2" t="inlineStr">
        <is>
          <t>10/02/2025</t>
        </is>
      </c>
      <c r="B99" s="2" t="inlineStr">
        <is>
          <t>Pinturas Unidas</t>
        </is>
      </c>
      <c r="C99" s="2" t="inlineStr">
        <is>
          <t>Alquiler</t>
        </is>
      </c>
      <c r="D99" s="2" t="inlineStr">
        <is>
          <t>CC-VTA</t>
        </is>
      </c>
      <c r="E99" s="3" t="n">
        <v>3749.3</v>
      </c>
      <c r="F99" s="2">
        <f>IFS(C99="Materia Prima","Costo Venta",C99="Transporte","Costo Venta",C99="Comisiones","Costo Venta",C99="Planilla","Gasto Administrativo",C99="Marketing","Gasto Administrativo",C99="Impuestos","Gasto Administrativo",TRUE,"Gasto Operativo")</f>
        <v/>
      </c>
      <c r="G99" s="3" t="n">
        <v>6000</v>
      </c>
    </row>
    <row r="100">
      <c r="A100" s="2" t="inlineStr">
        <is>
          <t>27/06/2025</t>
        </is>
      </c>
      <c r="B100" s="2" t="inlineStr">
        <is>
          <t>Agencia Creativa</t>
        </is>
      </c>
      <c r="C100" s="2" t="inlineStr">
        <is>
          <t>Transporte</t>
        </is>
      </c>
      <c r="D100" s="2" t="inlineStr">
        <is>
          <t>CC-VTA</t>
        </is>
      </c>
      <c r="E100" s="3" t="n">
        <v>2938.13</v>
      </c>
      <c r="F100" s="2">
        <f>IFS(C100="Materia Prima","Costo Venta",C100="Transporte","Costo Venta",C100="Comisiones","Costo Venta",C100="Planilla","Gasto Administrativo",C100="Marketing","Gasto Administrativo",C100="Impuestos","Gasto Administrativo",TRUE,"Gasto Operativo")</f>
        <v/>
      </c>
      <c r="G100" s="3" t="n">
        <v>15000</v>
      </c>
    </row>
    <row r="101">
      <c r="A101" s="2" t="inlineStr">
        <is>
          <t>24/01/2025</t>
        </is>
      </c>
      <c r="B101" s="2" t="inlineStr">
        <is>
          <t>Agencia Creativa</t>
        </is>
      </c>
      <c r="C101" s="2" t="inlineStr">
        <is>
          <t>Transporte</t>
        </is>
      </c>
      <c r="D101" s="2" t="inlineStr">
        <is>
          <t>CC-VTA</t>
        </is>
      </c>
      <c r="E101" s="3" t="n">
        <v>9539.879999999999</v>
      </c>
      <c r="F101" s="2">
        <f>IFS(C101="Materia Prima","Costo Venta",C101="Transporte","Costo Venta",C101="Comisiones","Costo Venta",C101="Planilla","Gasto Administrativo",C101="Marketing","Gasto Administrativo",C101="Impuestos","Gasto Administrativo",TRUE,"Gasto Operativo")</f>
        <v/>
      </c>
      <c r="G101" s="3" t="n">
        <v>15000</v>
      </c>
    </row>
    <row r="102"/>
    <row r="103">
      <c r="A103" s="4" t="inlineStr">
        <is>
          <t>RESUMEN POR CENTRO COSTO</t>
        </is>
      </c>
    </row>
    <row r="104">
      <c r="A104" s="1" t="inlineStr">
        <is>
          <t>Centro Costo</t>
        </is>
      </c>
      <c r="B104" s="1" t="inlineStr">
        <is>
          <t>Total Gastos</t>
        </is>
      </c>
    </row>
    <row r="105">
      <c r="A105" s="2" t="inlineStr">
        <is>
          <t>CC-ADM</t>
        </is>
      </c>
      <c r="B105" s="3">
        <f>SUMIF(D2:D101,A105,E2:E101)</f>
        <v/>
      </c>
    </row>
    <row r="106">
      <c r="A106" s="2" t="inlineStr">
        <is>
          <t>CC-PROD</t>
        </is>
      </c>
      <c r="B106" s="3">
        <f>SUMIF(D2:D101,A106,E2:E101)</f>
        <v/>
      </c>
    </row>
    <row r="107">
      <c r="A107" s="2" t="inlineStr">
        <is>
          <t>CC-VTA</t>
        </is>
      </c>
      <c r="B107" s="3">
        <f>SUMIF(D2:D101,A107,E2:E101)</f>
        <v/>
      </c>
    </row>
    <row r="108">
      <c r="A108" s="2" t="n"/>
      <c r="B10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