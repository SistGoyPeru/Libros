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1" customWidth="1" min="9" max="9"/>
    <col width="15" customWidth="1" min="10" max="10"/>
    <col width="16" customWidth="1" min="11" max="11"/>
  </cols>
  <sheetData>
    <row r="1">
      <c r="A1" s="1" t="inlineStr">
        <is>
          <t>Semana</t>
        </is>
      </c>
      <c r="B1" s="1" t="inlineStr">
        <is>
          <t>Fecha Ini</t>
        </is>
      </c>
      <c r="C1" s="1" t="inlineStr">
        <is>
          <t>Fecha Fin</t>
        </is>
      </c>
      <c r="D1" s="1" t="inlineStr">
        <is>
          <t>Ventas Brutas</t>
        </is>
      </c>
      <c r="E1" s="1" t="inlineStr">
        <is>
          <t>Devoluciones</t>
        </is>
      </c>
      <c r="F1" s="1" t="inlineStr">
        <is>
          <t>Ventas Netas</t>
        </is>
      </c>
      <c r="G1" s="1" t="inlineStr">
        <is>
          <t>Costo Ventas</t>
        </is>
      </c>
      <c r="H1" s="1" t="inlineStr">
        <is>
          <t>Margen Bruto</t>
        </is>
      </c>
      <c r="I1" s="1" t="inlineStr">
        <is>
          <t>Margen %</t>
        </is>
      </c>
      <c r="J1" s="1" t="inlineStr">
        <is>
          <t>Gastos Oper.</t>
        </is>
      </c>
      <c r="K1" s="1" t="inlineStr">
        <is>
          <t>Utilidad Neta</t>
        </is>
      </c>
    </row>
    <row r="2">
      <c r="A2" s="2" t="inlineStr">
        <is>
          <t>S1</t>
        </is>
      </c>
      <c r="B2" s="2" t="inlineStr">
        <is>
          <t>01/01/2026</t>
        </is>
      </c>
      <c r="C2" s="2" t="inlineStr">
        <is>
          <t>07/01/2026</t>
        </is>
      </c>
      <c r="D2" s="3" t="n">
        <v>45000</v>
      </c>
      <c r="E2" s="3" t="n">
        <v>1200</v>
      </c>
      <c r="F2" s="3">
        <f>D2-E2</f>
        <v/>
      </c>
      <c r="G2" s="3" t="n">
        <v>28000</v>
      </c>
      <c r="H2" s="3">
        <f>F2-G2</f>
        <v/>
      </c>
      <c r="I2" s="4">
        <f>H2/F2</f>
        <v/>
      </c>
      <c r="J2" s="3" t="n">
        <v>8500</v>
      </c>
      <c r="K2" s="3">
        <f>H2-J2</f>
        <v/>
      </c>
    </row>
    <row r="3">
      <c r="A3" s="2" t="inlineStr">
        <is>
          <t>S2</t>
        </is>
      </c>
      <c r="B3" s="2" t="inlineStr">
        <is>
          <t>08/01/2026</t>
        </is>
      </c>
      <c r="C3" s="2" t="inlineStr">
        <is>
          <t>14/01/2026</t>
        </is>
      </c>
      <c r="D3" s="3" t="n">
        <v>52000</v>
      </c>
      <c r="E3" s="3" t="n">
        <v>800</v>
      </c>
      <c r="F3" s="3">
        <f>D3-E3</f>
        <v/>
      </c>
      <c r="G3" s="3" t="n">
        <v>31000</v>
      </c>
      <c r="H3" s="3">
        <f>F3-G3</f>
        <v/>
      </c>
      <c r="I3" s="4">
        <f>H3/F3</f>
        <v/>
      </c>
      <c r="J3" s="3" t="n">
        <v>9000</v>
      </c>
      <c r="K3" s="3">
        <f>H3-J3</f>
        <v/>
      </c>
    </row>
    <row r="4">
      <c r="A4" s="2" t="inlineStr">
        <is>
          <t>S3</t>
        </is>
      </c>
      <c r="B4" s="2" t="inlineStr">
        <is>
          <t>15/01/2026</t>
        </is>
      </c>
      <c r="C4" s="2" t="inlineStr">
        <is>
          <t>21/01/2026</t>
        </is>
      </c>
      <c r="D4" s="3" t="n">
        <v>48000</v>
      </c>
      <c r="E4" s="3" t="n">
        <v>1500</v>
      </c>
      <c r="F4" s="3">
        <f>D4-E4</f>
        <v/>
      </c>
      <c r="G4" s="3" t="n">
        <v>29000</v>
      </c>
      <c r="H4" s="3">
        <f>F4-G4</f>
        <v/>
      </c>
      <c r="I4" s="4">
        <f>H4/F4</f>
        <v/>
      </c>
      <c r="J4" s="3" t="n">
        <v>8700</v>
      </c>
      <c r="K4" s="3">
        <f>H4-J4</f>
        <v/>
      </c>
    </row>
    <row r="5">
      <c r="A5" s="2" t="inlineStr">
        <is>
          <t>S4</t>
        </is>
      </c>
      <c r="B5" s="2" t="inlineStr">
        <is>
          <t>22/01/2026</t>
        </is>
      </c>
      <c r="C5" s="2" t="inlineStr">
        <is>
          <t>28/01/2026</t>
        </is>
      </c>
      <c r="D5" s="3" t="n">
        <v>56000</v>
      </c>
      <c r="E5" s="3" t="n">
        <v>600</v>
      </c>
      <c r="F5" s="3">
        <f>D5-E5</f>
        <v/>
      </c>
      <c r="G5" s="3" t="n">
        <v>34000</v>
      </c>
      <c r="H5" s="3">
        <f>F5-G5</f>
        <v/>
      </c>
      <c r="I5" s="4">
        <f>H5/F5</f>
        <v/>
      </c>
      <c r="J5" s="3" t="n">
        <v>9200</v>
      </c>
      <c r="K5" s="3">
        <f>H5-J5</f>
        <v/>
      </c>
    </row>
    <row r="6">
      <c r="A6" s="2" t="inlineStr">
        <is>
          <t>S5</t>
        </is>
      </c>
      <c r="B6" s="2" t="inlineStr">
        <is>
          <t>29/01/2026</t>
        </is>
      </c>
      <c r="C6" s="2" t="inlineStr">
        <is>
          <t>04/02/2026</t>
        </is>
      </c>
      <c r="D6" s="3" t="n">
        <v>51000</v>
      </c>
      <c r="E6" s="3" t="n">
        <v>1000</v>
      </c>
      <c r="F6" s="3">
        <f>D6-E6</f>
        <v/>
      </c>
      <c r="G6" s="3" t="n">
        <v>30500</v>
      </c>
      <c r="H6" s="3">
        <f>F6-G6</f>
        <v/>
      </c>
      <c r="I6" s="4">
        <f>H6/F6</f>
        <v/>
      </c>
      <c r="J6" s="3" t="n">
        <v>8800</v>
      </c>
      <c r="K6" s="3">
        <f>H6-J6</f>
        <v/>
      </c>
    </row>
    <row r="7">
      <c r="A7" s="2" t="inlineStr">
        <is>
          <t>S6</t>
        </is>
      </c>
      <c r="B7" s="2" t="inlineStr">
        <is>
          <t>05/02/2026</t>
        </is>
      </c>
      <c r="C7" s="2" t="inlineStr">
        <is>
          <t>11/02/2026</t>
        </is>
      </c>
      <c r="D7" s="3" t="n">
        <v>53000</v>
      </c>
      <c r="E7" s="3" t="n">
        <v>900</v>
      </c>
      <c r="F7" s="3">
        <f>D7-E7</f>
        <v/>
      </c>
      <c r="G7" s="3" t="n">
        <v>32000</v>
      </c>
      <c r="H7" s="3">
        <f>F7-G7</f>
        <v/>
      </c>
      <c r="I7" s="4">
        <f>H7/F7</f>
        <v/>
      </c>
      <c r="J7" s="3" t="n">
        <v>9100</v>
      </c>
      <c r="K7" s="3">
        <f>H7-J7</f>
        <v/>
      </c>
    </row>
    <row r="8"/>
    <row r="9">
      <c r="A9" s="5" t="inlineStr">
        <is>
          <t>Nota: Template de reporte semanal. Pídele a Copilot que automatice los cálculos y genere gráficos.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